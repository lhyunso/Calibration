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9462809-31D5-458A-B3A9-9943BBD7E19F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Strain 3W" sheetId="1" r:id="rId1"/>
    <sheet name="PT100" sheetId="2" r:id="rId2"/>
    <sheet name="PT1000" sheetId="3" r:id="rId3"/>
    <sheet name="Strain 3W_0.1V" sheetId="4" r:id="rId4"/>
    <sheet name="PT1000_저항환산" sheetId="5" r:id="rId5"/>
    <sheet name="PT100_저항환산" sheetId="6" r:id="rId6"/>
    <sheet name="Strain 3W_저항환산" sheetId="7" r:id="rId7"/>
  </sheets>
  <definedNames>
    <definedName name="_xlnm.Print_Area" localSheetId="1">'PT100'!$A$1:$R$53</definedName>
    <definedName name="_xlnm.Print_Area" localSheetId="5">PT100_저항환산!$A$1:$L$53</definedName>
    <definedName name="_xlnm.Print_Area" localSheetId="2">'PT1000'!$A$1:$L$213</definedName>
    <definedName name="_xlnm.Print_Area" localSheetId="4">PT1000_저항환산!$A$1:$L$213</definedName>
    <definedName name="_xlnm.Print_Area" localSheetId="6">'Strain 3W_저항환산'!$A$1:$L$63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7" l="1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3" i="7"/>
  <c r="K63" i="7"/>
  <c r="J63" i="7"/>
  <c r="H63" i="7"/>
  <c r="F63" i="7"/>
  <c r="E63" i="7"/>
  <c r="C63" i="7"/>
  <c r="L63" i="7" s="1"/>
  <c r="L62" i="7"/>
  <c r="K62" i="7"/>
  <c r="J62" i="7"/>
  <c r="I62" i="7"/>
  <c r="H62" i="7"/>
  <c r="G62" i="7"/>
  <c r="E62" i="7"/>
  <c r="D62" i="7"/>
  <c r="C62" i="7"/>
  <c r="F62" i="7" s="1"/>
  <c r="C61" i="7"/>
  <c r="L61" i="7" s="1"/>
  <c r="L60" i="7"/>
  <c r="K60" i="7"/>
  <c r="I60" i="7"/>
  <c r="H60" i="7"/>
  <c r="F60" i="7"/>
  <c r="C60" i="7"/>
  <c r="J60" i="7" s="1"/>
  <c r="H59" i="7"/>
  <c r="G59" i="7"/>
  <c r="F59" i="7"/>
  <c r="E59" i="7"/>
  <c r="C59" i="7"/>
  <c r="D59" i="7" s="1"/>
  <c r="L58" i="7"/>
  <c r="J58" i="7"/>
  <c r="G58" i="7"/>
  <c r="C58" i="7"/>
  <c r="K58" i="7" s="1"/>
  <c r="L57" i="7"/>
  <c r="K57" i="7"/>
  <c r="J57" i="7"/>
  <c r="I57" i="7"/>
  <c r="G57" i="7"/>
  <c r="F57" i="7"/>
  <c r="D57" i="7"/>
  <c r="C57" i="7"/>
  <c r="H57" i="7" s="1"/>
  <c r="C56" i="7"/>
  <c r="L56" i="7" s="1"/>
  <c r="K55" i="7"/>
  <c r="J55" i="7"/>
  <c r="H55" i="7"/>
  <c r="F55" i="7"/>
  <c r="E55" i="7"/>
  <c r="C55" i="7"/>
  <c r="L55" i="7" s="1"/>
  <c r="L54" i="7"/>
  <c r="K54" i="7"/>
  <c r="J54" i="7"/>
  <c r="I54" i="7"/>
  <c r="H54" i="7"/>
  <c r="G54" i="7"/>
  <c r="E54" i="7"/>
  <c r="D54" i="7"/>
  <c r="C54" i="7"/>
  <c r="F54" i="7" s="1"/>
  <c r="C53" i="7"/>
  <c r="L53" i="7" s="1"/>
  <c r="L52" i="7"/>
  <c r="K52" i="7"/>
  <c r="I52" i="7"/>
  <c r="H52" i="7"/>
  <c r="F52" i="7"/>
  <c r="C52" i="7"/>
  <c r="J52" i="7" s="1"/>
  <c r="H51" i="7"/>
  <c r="G51" i="7"/>
  <c r="F51" i="7"/>
  <c r="E51" i="7"/>
  <c r="C51" i="7"/>
  <c r="D51" i="7" s="1"/>
  <c r="L50" i="7"/>
  <c r="J50" i="7"/>
  <c r="C50" i="7"/>
  <c r="K50" i="7" s="1"/>
  <c r="L49" i="7"/>
  <c r="K49" i="7"/>
  <c r="J49" i="7"/>
  <c r="I49" i="7"/>
  <c r="G49" i="7"/>
  <c r="F49" i="7"/>
  <c r="D49" i="7"/>
  <c r="C49" i="7"/>
  <c r="H49" i="7" s="1"/>
  <c r="C48" i="7"/>
  <c r="E48" i="7" s="1"/>
  <c r="K47" i="7"/>
  <c r="J47" i="7"/>
  <c r="H47" i="7"/>
  <c r="F47" i="7"/>
  <c r="E47" i="7"/>
  <c r="C47" i="7"/>
  <c r="L47" i="7" s="1"/>
  <c r="L46" i="7"/>
  <c r="K46" i="7"/>
  <c r="J46" i="7"/>
  <c r="I46" i="7"/>
  <c r="H46" i="7"/>
  <c r="G46" i="7"/>
  <c r="E46" i="7"/>
  <c r="D46" i="7"/>
  <c r="C46" i="7"/>
  <c r="F46" i="7" s="1"/>
  <c r="C45" i="7"/>
  <c r="L45" i="7" s="1"/>
  <c r="L44" i="7"/>
  <c r="K44" i="7"/>
  <c r="I44" i="7"/>
  <c r="H44" i="7"/>
  <c r="F44" i="7"/>
  <c r="C44" i="7"/>
  <c r="J44" i="7" s="1"/>
  <c r="H43" i="7"/>
  <c r="G43" i="7"/>
  <c r="F43" i="7"/>
  <c r="E43" i="7"/>
  <c r="C43" i="7"/>
  <c r="D43" i="7" s="1"/>
  <c r="L42" i="7"/>
  <c r="J42" i="7"/>
  <c r="C42" i="7"/>
  <c r="K42" i="7" s="1"/>
  <c r="L41" i="7"/>
  <c r="K41" i="7"/>
  <c r="J41" i="7"/>
  <c r="I41" i="7"/>
  <c r="G41" i="7"/>
  <c r="F41" i="7"/>
  <c r="D41" i="7"/>
  <c r="C41" i="7"/>
  <c r="H41" i="7" s="1"/>
  <c r="C40" i="7"/>
  <c r="F40" i="7" s="1"/>
  <c r="K39" i="7"/>
  <c r="J39" i="7"/>
  <c r="H39" i="7"/>
  <c r="F39" i="7"/>
  <c r="E39" i="7"/>
  <c r="C39" i="7"/>
  <c r="L39" i="7" s="1"/>
  <c r="L38" i="7"/>
  <c r="K38" i="7"/>
  <c r="J38" i="7"/>
  <c r="I38" i="7"/>
  <c r="H38" i="7"/>
  <c r="G38" i="7"/>
  <c r="E38" i="7"/>
  <c r="D38" i="7"/>
  <c r="C38" i="7"/>
  <c r="F38" i="7" s="1"/>
  <c r="C37" i="7"/>
  <c r="L37" i="7" s="1"/>
  <c r="L36" i="7"/>
  <c r="K36" i="7"/>
  <c r="I36" i="7"/>
  <c r="H36" i="7"/>
  <c r="F36" i="7"/>
  <c r="C36" i="7"/>
  <c r="J36" i="7" s="1"/>
  <c r="H35" i="7"/>
  <c r="G35" i="7"/>
  <c r="F35" i="7"/>
  <c r="E35" i="7"/>
  <c r="C35" i="7"/>
  <c r="D35" i="7" s="1"/>
  <c r="L34" i="7"/>
  <c r="J34" i="7"/>
  <c r="C34" i="7"/>
  <c r="K34" i="7" s="1"/>
  <c r="L33" i="7"/>
  <c r="K33" i="7"/>
  <c r="J33" i="7"/>
  <c r="I33" i="7"/>
  <c r="G33" i="7"/>
  <c r="F33" i="7"/>
  <c r="D33" i="7"/>
  <c r="C33" i="7"/>
  <c r="H33" i="7" s="1"/>
  <c r="C32" i="7"/>
  <c r="E32" i="7" s="1"/>
  <c r="K31" i="7"/>
  <c r="J31" i="7"/>
  <c r="H31" i="7"/>
  <c r="F31" i="7"/>
  <c r="E31" i="7"/>
  <c r="C31" i="7"/>
  <c r="L31" i="7" s="1"/>
  <c r="L30" i="7"/>
  <c r="K30" i="7"/>
  <c r="J30" i="7"/>
  <c r="I30" i="7"/>
  <c r="H30" i="7"/>
  <c r="G30" i="7"/>
  <c r="E30" i="7"/>
  <c r="D30" i="7"/>
  <c r="C30" i="7"/>
  <c r="F30" i="7" s="1"/>
  <c r="C29" i="7"/>
  <c r="L29" i="7" s="1"/>
  <c r="L28" i="7"/>
  <c r="K28" i="7"/>
  <c r="I28" i="7"/>
  <c r="H28" i="7"/>
  <c r="F28" i="7"/>
  <c r="C28" i="7"/>
  <c r="J28" i="7" s="1"/>
  <c r="H27" i="7"/>
  <c r="G27" i="7"/>
  <c r="F27" i="7"/>
  <c r="E27" i="7"/>
  <c r="C27" i="7"/>
  <c r="D27" i="7" s="1"/>
  <c r="L26" i="7"/>
  <c r="J26" i="7"/>
  <c r="C26" i="7"/>
  <c r="K26" i="7" s="1"/>
  <c r="L25" i="7"/>
  <c r="K25" i="7"/>
  <c r="J25" i="7"/>
  <c r="I25" i="7"/>
  <c r="G25" i="7"/>
  <c r="F25" i="7"/>
  <c r="D25" i="7"/>
  <c r="C25" i="7"/>
  <c r="H25" i="7" s="1"/>
  <c r="C24" i="7"/>
  <c r="D24" i="7" s="1"/>
  <c r="K23" i="7"/>
  <c r="J23" i="7"/>
  <c r="H23" i="7"/>
  <c r="F23" i="7"/>
  <c r="E23" i="7"/>
  <c r="C23" i="7"/>
  <c r="L23" i="7" s="1"/>
  <c r="L22" i="7"/>
  <c r="K22" i="7"/>
  <c r="J22" i="7"/>
  <c r="I22" i="7"/>
  <c r="H22" i="7"/>
  <c r="G22" i="7"/>
  <c r="E22" i="7"/>
  <c r="D22" i="7"/>
  <c r="C22" i="7"/>
  <c r="F22" i="7" s="1"/>
  <c r="C21" i="7"/>
  <c r="L21" i="7" s="1"/>
  <c r="L20" i="7"/>
  <c r="K20" i="7"/>
  <c r="I20" i="7"/>
  <c r="H20" i="7"/>
  <c r="F20" i="7"/>
  <c r="C20" i="7"/>
  <c r="J20" i="7" s="1"/>
  <c r="H19" i="7"/>
  <c r="G19" i="7"/>
  <c r="F19" i="7"/>
  <c r="E19" i="7"/>
  <c r="C19" i="7"/>
  <c r="D19" i="7" s="1"/>
  <c r="L18" i="7"/>
  <c r="J18" i="7"/>
  <c r="C18" i="7"/>
  <c r="K18" i="7" s="1"/>
  <c r="L17" i="7"/>
  <c r="K17" i="7"/>
  <c r="J17" i="7"/>
  <c r="I17" i="7"/>
  <c r="G17" i="7"/>
  <c r="F17" i="7"/>
  <c r="D17" i="7"/>
  <c r="C17" i="7"/>
  <c r="H17" i="7" s="1"/>
  <c r="C16" i="7"/>
  <c r="D16" i="7" s="1"/>
  <c r="K15" i="7"/>
  <c r="J15" i="7"/>
  <c r="H15" i="7"/>
  <c r="F15" i="7"/>
  <c r="E15" i="7"/>
  <c r="C15" i="7"/>
  <c r="L15" i="7" s="1"/>
  <c r="L14" i="7"/>
  <c r="K14" i="7"/>
  <c r="J14" i="7"/>
  <c r="I14" i="7"/>
  <c r="H14" i="7"/>
  <c r="G14" i="7"/>
  <c r="E14" i="7"/>
  <c r="D14" i="7"/>
  <c r="C14" i="7"/>
  <c r="F14" i="7" s="1"/>
  <c r="C13" i="7"/>
  <c r="L13" i="7" s="1"/>
  <c r="L12" i="7"/>
  <c r="K12" i="7"/>
  <c r="I12" i="7"/>
  <c r="H12" i="7"/>
  <c r="F12" i="7"/>
  <c r="C12" i="7"/>
  <c r="J12" i="7" s="1"/>
  <c r="H11" i="7"/>
  <c r="G11" i="7"/>
  <c r="F11" i="7"/>
  <c r="E11" i="7"/>
  <c r="C11" i="7"/>
  <c r="D11" i="7" s="1"/>
  <c r="L10" i="7"/>
  <c r="J10" i="7"/>
  <c r="C10" i="7"/>
  <c r="K10" i="7" s="1"/>
  <c r="L9" i="7"/>
  <c r="K9" i="7"/>
  <c r="J9" i="7"/>
  <c r="I9" i="7"/>
  <c r="G9" i="7"/>
  <c r="F9" i="7"/>
  <c r="D9" i="7"/>
  <c r="C9" i="7"/>
  <c r="H9" i="7" s="1"/>
  <c r="C8" i="7"/>
  <c r="K8" i="7" s="1"/>
  <c r="K7" i="7"/>
  <c r="J7" i="7"/>
  <c r="H7" i="7"/>
  <c r="F7" i="7"/>
  <c r="E7" i="7"/>
  <c r="C7" i="7"/>
  <c r="L7" i="7" s="1"/>
  <c r="L6" i="7"/>
  <c r="K6" i="7"/>
  <c r="J6" i="7"/>
  <c r="I6" i="7"/>
  <c r="H6" i="7"/>
  <c r="G6" i="7"/>
  <c r="E6" i="7"/>
  <c r="D6" i="7"/>
  <c r="C6" i="7"/>
  <c r="F6" i="7" s="1"/>
  <c r="C5" i="7"/>
  <c r="L5" i="7" s="1"/>
  <c r="L4" i="7"/>
  <c r="K4" i="7"/>
  <c r="I4" i="7"/>
  <c r="H4" i="7"/>
  <c r="F4" i="7"/>
  <c r="C4" i="7"/>
  <c r="J4" i="7" s="1"/>
  <c r="H3" i="7"/>
  <c r="G3" i="7"/>
  <c r="F3" i="7"/>
  <c r="E3" i="7"/>
  <c r="C3" i="7"/>
  <c r="D3" i="7" s="1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3" i="6"/>
  <c r="I53" i="6"/>
  <c r="H53" i="6"/>
  <c r="C53" i="6"/>
  <c r="L53" i="6" s="1"/>
  <c r="K52" i="6"/>
  <c r="J52" i="6"/>
  <c r="I52" i="6"/>
  <c r="H52" i="6"/>
  <c r="C52" i="6"/>
  <c r="F52" i="6" s="1"/>
  <c r="C51" i="6"/>
  <c r="K51" i="6" s="1"/>
  <c r="L50" i="6"/>
  <c r="H50" i="6"/>
  <c r="G50" i="6"/>
  <c r="F50" i="6"/>
  <c r="C50" i="6"/>
  <c r="J50" i="6" s="1"/>
  <c r="L49" i="6"/>
  <c r="K49" i="6"/>
  <c r="J49" i="6"/>
  <c r="I49" i="6"/>
  <c r="H49" i="6"/>
  <c r="G49" i="6"/>
  <c r="F49" i="6"/>
  <c r="E49" i="6"/>
  <c r="C49" i="6"/>
  <c r="D49" i="6" s="1"/>
  <c r="J48" i="6"/>
  <c r="C48" i="6"/>
  <c r="K48" i="6" s="1"/>
  <c r="L47" i="6"/>
  <c r="K47" i="6"/>
  <c r="J47" i="6"/>
  <c r="I47" i="6"/>
  <c r="F47" i="6"/>
  <c r="E47" i="6"/>
  <c r="D47" i="6"/>
  <c r="C47" i="6"/>
  <c r="H47" i="6" s="1"/>
  <c r="K46" i="6"/>
  <c r="I46" i="6"/>
  <c r="H46" i="6"/>
  <c r="G46" i="6"/>
  <c r="F46" i="6"/>
  <c r="E46" i="6"/>
  <c r="D46" i="6"/>
  <c r="C46" i="6"/>
  <c r="L46" i="6" s="1"/>
  <c r="J45" i="6"/>
  <c r="I45" i="6"/>
  <c r="H45" i="6"/>
  <c r="C45" i="6"/>
  <c r="L45" i="6" s="1"/>
  <c r="K44" i="6"/>
  <c r="J44" i="6"/>
  <c r="I44" i="6"/>
  <c r="H44" i="6"/>
  <c r="C44" i="6"/>
  <c r="F44" i="6" s="1"/>
  <c r="C43" i="6"/>
  <c r="L43" i="6" s="1"/>
  <c r="L42" i="6"/>
  <c r="H42" i="6"/>
  <c r="G42" i="6"/>
  <c r="F42" i="6"/>
  <c r="C42" i="6"/>
  <c r="J42" i="6" s="1"/>
  <c r="L41" i="6"/>
  <c r="K41" i="6"/>
  <c r="J41" i="6"/>
  <c r="I41" i="6"/>
  <c r="H41" i="6"/>
  <c r="G41" i="6"/>
  <c r="F41" i="6"/>
  <c r="E41" i="6"/>
  <c r="C41" i="6"/>
  <c r="D41" i="6" s="1"/>
  <c r="J40" i="6"/>
  <c r="C40" i="6"/>
  <c r="K40" i="6" s="1"/>
  <c r="L39" i="6"/>
  <c r="K39" i="6"/>
  <c r="J39" i="6"/>
  <c r="I39" i="6"/>
  <c r="F39" i="6"/>
  <c r="E39" i="6"/>
  <c r="D39" i="6"/>
  <c r="C39" i="6"/>
  <c r="H39" i="6" s="1"/>
  <c r="K38" i="6"/>
  <c r="I38" i="6"/>
  <c r="H38" i="6"/>
  <c r="G38" i="6"/>
  <c r="F38" i="6"/>
  <c r="E38" i="6"/>
  <c r="D38" i="6"/>
  <c r="C38" i="6"/>
  <c r="L38" i="6" s="1"/>
  <c r="I37" i="6"/>
  <c r="H37" i="6"/>
  <c r="C37" i="6"/>
  <c r="L37" i="6" s="1"/>
  <c r="K36" i="6"/>
  <c r="J36" i="6"/>
  <c r="I36" i="6"/>
  <c r="H36" i="6"/>
  <c r="C36" i="6"/>
  <c r="F36" i="6" s="1"/>
  <c r="C35" i="6"/>
  <c r="K35" i="6" s="1"/>
  <c r="L34" i="6"/>
  <c r="H34" i="6"/>
  <c r="G34" i="6"/>
  <c r="F34" i="6"/>
  <c r="C34" i="6"/>
  <c r="J34" i="6" s="1"/>
  <c r="L33" i="6"/>
  <c r="K33" i="6"/>
  <c r="J33" i="6"/>
  <c r="I33" i="6"/>
  <c r="H33" i="6"/>
  <c r="G33" i="6"/>
  <c r="F33" i="6"/>
  <c r="E33" i="6"/>
  <c r="C33" i="6"/>
  <c r="D33" i="6" s="1"/>
  <c r="J32" i="6"/>
  <c r="C32" i="6"/>
  <c r="I32" i="6" s="1"/>
  <c r="L31" i="6"/>
  <c r="K31" i="6"/>
  <c r="J31" i="6"/>
  <c r="I31" i="6"/>
  <c r="F31" i="6"/>
  <c r="E31" i="6"/>
  <c r="D31" i="6"/>
  <c r="C31" i="6"/>
  <c r="H31" i="6" s="1"/>
  <c r="I30" i="6"/>
  <c r="H30" i="6"/>
  <c r="G30" i="6"/>
  <c r="F30" i="6"/>
  <c r="E30" i="6"/>
  <c r="D30" i="6"/>
  <c r="C30" i="6"/>
  <c r="L30" i="6" s="1"/>
  <c r="J29" i="6"/>
  <c r="I29" i="6"/>
  <c r="H29" i="6"/>
  <c r="C29" i="6"/>
  <c r="L29" i="6" s="1"/>
  <c r="K28" i="6"/>
  <c r="J28" i="6"/>
  <c r="I28" i="6"/>
  <c r="H28" i="6"/>
  <c r="C28" i="6"/>
  <c r="F28" i="6" s="1"/>
  <c r="C27" i="6"/>
  <c r="L27" i="6" s="1"/>
  <c r="L26" i="6"/>
  <c r="K26" i="6"/>
  <c r="H26" i="6"/>
  <c r="G26" i="6"/>
  <c r="F26" i="6"/>
  <c r="C26" i="6"/>
  <c r="J26" i="6" s="1"/>
  <c r="L25" i="6"/>
  <c r="K25" i="6"/>
  <c r="J25" i="6"/>
  <c r="I25" i="6"/>
  <c r="H25" i="6"/>
  <c r="G25" i="6"/>
  <c r="F25" i="6"/>
  <c r="E25" i="6"/>
  <c r="D25" i="6"/>
  <c r="C25" i="6"/>
  <c r="J24" i="6"/>
  <c r="C24" i="6"/>
  <c r="L24" i="6" s="1"/>
  <c r="L23" i="6"/>
  <c r="K23" i="6"/>
  <c r="J23" i="6"/>
  <c r="I23" i="6"/>
  <c r="F23" i="6"/>
  <c r="E23" i="6"/>
  <c r="D23" i="6"/>
  <c r="C23" i="6"/>
  <c r="H23" i="6" s="1"/>
  <c r="I22" i="6"/>
  <c r="H22" i="6"/>
  <c r="G22" i="6"/>
  <c r="F22" i="6"/>
  <c r="E22" i="6"/>
  <c r="D22" i="6"/>
  <c r="C22" i="6"/>
  <c r="L22" i="6" s="1"/>
  <c r="J21" i="6"/>
  <c r="I21" i="6"/>
  <c r="H21" i="6"/>
  <c r="C21" i="6"/>
  <c r="L21" i="6" s="1"/>
  <c r="K20" i="6"/>
  <c r="J20" i="6"/>
  <c r="I20" i="6"/>
  <c r="H20" i="6"/>
  <c r="C20" i="6"/>
  <c r="F20" i="6" s="1"/>
  <c r="C19" i="6"/>
  <c r="K19" i="6" s="1"/>
  <c r="L18" i="6"/>
  <c r="K18" i="6"/>
  <c r="H18" i="6"/>
  <c r="G18" i="6"/>
  <c r="F18" i="6"/>
  <c r="C18" i="6"/>
  <c r="J18" i="6" s="1"/>
  <c r="L17" i="6"/>
  <c r="K17" i="6"/>
  <c r="J17" i="6"/>
  <c r="I17" i="6"/>
  <c r="H17" i="6"/>
  <c r="G17" i="6"/>
  <c r="F17" i="6"/>
  <c r="E17" i="6"/>
  <c r="D17" i="6"/>
  <c r="C17" i="6"/>
  <c r="J16" i="6"/>
  <c r="C16" i="6"/>
  <c r="L16" i="6" s="1"/>
  <c r="L15" i="6"/>
  <c r="K15" i="6"/>
  <c r="J15" i="6"/>
  <c r="I15" i="6"/>
  <c r="F15" i="6"/>
  <c r="E15" i="6"/>
  <c r="D15" i="6"/>
  <c r="C15" i="6"/>
  <c r="H15" i="6" s="1"/>
  <c r="I14" i="6"/>
  <c r="H14" i="6"/>
  <c r="G14" i="6"/>
  <c r="F14" i="6"/>
  <c r="E14" i="6"/>
  <c r="D14" i="6"/>
  <c r="C14" i="6"/>
  <c r="L14" i="6" s="1"/>
  <c r="J13" i="6"/>
  <c r="I13" i="6"/>
  <c r="H13" i="6"/>
  <c r="C13" i="6"/>
  <c r="L13" i="6" s="1"/>
  <c r="K12" i="6"/>
  <c r="J12" i="6"/>
  <c r="I12" i="6"/>
  <c r="H12" i="6"/>
  <c r="C12" i="6"/>
  <c r="F12" i="6" s="1"/>
  <c r="C11" i="6"/>
  <c r="L11" i="6" s="1"/>
  <c r="L10" i="6"/>
  <c r="K10" i="6"/>
  <c r="H10" i="6"/>
  <c r="G10" i="6"/>
  <c r="F10" i="6"/>
  <c r="C10" i="6"/>
  <c r="J10" i="6" s="1"/>
  <c r="L9" i="6"/>
  <c r="K9" i="6"/>
  <c r="J9" i="6"/>
  <c r="I9" i="6"/>
  <c r="H9" i="6"/>
  <c r="G9" i="6"/>
  <c r="F9" i="6"/>
  <c r="E9" i="6"/>
  <c r="D9" i="6"/>
  <c r="C9" i="6"/>
  <c r="J8" i="6"/>
  <c r="C8" i="6"/>
  <c r="L8" i="6" s="1"/>
  <c r="L7" i="6"/>
  <c r="K7" i="6"/>
  <c r="J7" i="6"/>
  <c r="I7" i="6"/>
  <c r="F7" i="6"/>
  <c r="E7" i="6"/>
  <c r="D7" i="6"/>
  <c r="C7" i="6"/>
  <c r="H7" i="6" s="1"/>
  <c r="I6" i="6"/>
  <c r="H6" i="6"/>
  <c r="G6" i="6"/>
  <c r="F6" i="6"/>
  <c r="E6" i="6"/>
  <c r="D6" i="6"/>
  <c r="C6" i="6"/>
  <c r="L6" i="6" s="1"/>
  <c r="J5" i="6"/>
  <c r="I5" i="6"/>
  <c r="H5" i="6"/>
  <c r="C5" i="6"/>
  <c r="L5" i="6" s="1"/>
  <c r="K4" i="6"/>
  <c r="J4" i="6"/>
  <c r="I4" i="6"/>
  <c r="H4" i="6"/>
  <c r="C4" i="6"/>
  <c r="F4" i="6" s="1"/>
  <c r="C3" i="6"/>
  <c r="K3" i="6" s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3" i="5"/>
  <c r="C213" i="5"/>
  <c r="G213" i="5" s="1"/>
  <c r="C212" i="5"/>
  <c r="F212" i="5" s="1"/>
  <c r="C211" i="5"/>
  <c r="G211" i="5" s="1"/>
  <c r="C210" i="5"/>
  <c r="H209" i="5"/>
  <c r="C209" i="5"/>
  <c r="D209" i="5" s="1"/>
  <c r="C208" i="5"/>
  <c r="K208" i="5" s="1"/>
  <c r="K207" i="5"/>
  <c r="G207" i="5"/>
  <c r="C207" i="5"/>
  <c r="C206" i="5"/>
  <c r="K206" i="5" s="1"/>
  <c r="C205" i="5"/>
  <c r="G204" i="5"/>
  <c r="E204" i="5"/>
  <c r="D204" i="5"/>
  <c r="C204" i="5"/>
  <c r="F204" i="5" s="1"/>
  <c r="C203" i="5"/>
  <c r="L203" i="5" s="1"/>
  <c r="H202" i="5"/>
  <c r="D202" i="5"/>
  <c r="C202" i="5"/>
  <c r="G202" i="5" s="1"/>
  <c r="J201" i="5"/>
  <c r="G201" i="5"/>
  <c r="C201" i="5"/>
  <c r="D201" i="5" s="1"/>
  <c r="C200" i="5"/>
  <c r="I199" i="5"/>
  <c r="G199" i="5"/>
  <c r="F199" i="5"/>
  <c r="C199" i="5"/>
  <c r="L199" i="5" s="1"/>
  <c r="C198" i="5"/>
  <c r="J198" i="5" s="1"/>
  <c r="C197" i="5"/>
  <c r="G197" i="5" s="1"/>
  <c r="C196" i="5"/>
  <c r="C195" i="5"/>
  <c r="K195" i="5" s="1"/>
  <c r="C194" i="5"/>
  <c r="L193" i="5"/>
  <c r="C193" i="5"/>
  <c r="D193" i="5" s="1"/>
  <c r="C192" i="5"/>
  <c r="C191" i="5"/>
  <c r="I191" i="5" s="1"/>
  <c r="C190" i="5"/>
  <c r="D190" i="5" s="1"/>
  <c r="C189" i="5"/>
  <c r="C188" i="5"/>
  <c r="F188" i="5" s="1"/>
  <c r="I187" i="5"/>
  <c r="C187" i="5"/>
  <c r="F187" i="5" s="1"/>
  <c r="C186" i="5"/>
  <c r="K186" i="5" s="1"/>
  <c r="C185" i="5"/>
  <c r="K185" i="5" s="1"/>
  <c r="C184" i="5"/>
  <c r="K184" i="5" s="1"/>
  <c r="C183" i="5"/>
  <c r="C182" i="5"/>
  <c r="J182" i="5" s="1"/>
  <c r="C181" i="5"/>
  <c r="G181" i="5" s="1"/>
  <c r="C180" i="5"/>
  <c r="G179" i="5"/>
  <c r="F179" i="5"/>
  <c r="C179" i="5"/>
  <c r="L179" i="5" s="1"/>
  <c r="C178" i="5"/>
  <c r="C177" i="5"/>
  <c r="D177" i="5" s="1"/>
  <c r="C176" i="5"/>
  <c r="L176" i="5" s="1"/>
  <c r="C175" i="5"/>
  <c r="L175" i="5" s="1"/>
  <c r="C174" i="5"/>
  <c r="L174" i="5" s="1"/>
  <c r="C173" i="5"/>
  <c r="C172" i="5"/>
  <c r="I172" i="5" s="1"/>
  <c r="C171" i="5"/>
  <c r="L171" i="5" s="1"/>
  <c r="C170" i="5"/>
  <c r="L170" i="5" s="1"/>
  <c r="C169" i="5"/>
  <c r="E168" i="5"/>
  <c r="C168" i="5"/>
  <c r="C167" i="5"/>
  <c r="E167" i="5" s="1"/>
  <c r="C166" i="5"/>
  <c r="J165" i="5"/>
  <c r="I165" i="5"/>
  <c r="F165" i="5"/>
  <c r="C165" i="5"/>
  <c r="K165" i="5" s="1"/>
  <c r="C164" i="5"/>
  <c r="J164" i="5" s="1"/>
  <c r="C163" i="5"/>
  <c r="D163" i="5" s="1"/>
  <c r="C162" i="5"/>
  <c r="L162" i="5" s="1"/>
  <c r="C161" i="5"/>
  <c r="L161" i="5" s="1"/>
  <c r="G160" i="5"/>
  <c r="F160" i="5"/>
  <c r="E160" i="5"/>
  <c r="C160" i="5"/>
  <c r="C159" i="5"/>
  <c r="C158" i="5"/>
  <c r="H158" i="5" s="1"/>
  <c r="C157" i="5"/>
  <c r="I157" i="5" s="1"/>
  <c r="C156" i="5"/>
  <c r="C155" i="5"/>
  <c r="J155" i="5" s="1"/>
  <c r="C154" i="5"/>
  <c r="C153" i="5"/>
  <c r="E153" i="5" s="1"/>
  <c r="C152" i="5"/>
  <c r="D152" i="5" s="1"/>
  <c r="C151" i="5"/>
  <c r="F150" i="5"/>
  <c r="E150" i="5"/>
  <c r="D150" i="5"/>
  <c r="C150" i="5"/>
  <c r="K150" i="5" s="1"/>
  <c r="E149" i="5"/>
  <c r="C149" i="5"/>
  <c r="G149" i="5" s="1"/>
  <c r="L148" i="5"/>
  <c r="C148" i="5"/>
  <c r="F148" i="5" s="1"/>
  <c r="C147" i="5"/>
  <c r="C146" i="5"/>
  <c r="G146" i="5" s="1"/>
  <c r="C145" i="5"/>
  <c r="H145" i="5" s="1"/>
  <c r="C144" i="5"/>
  <c r="C143" i="5"/>
  <c r="L143" i="5" s="1"/>
  <c r="C142" i="5"/>
  <c r="D142" i="5" s="1"/>
  <c r="C141" i="5"/>
  <c r="G141" i="5" s="1"/>
  <c r="C140" i="5"/>
  <c r="C139" i="5"/>
  <c r="G139" i="5" s="1"/>
  <c r="G138" i="5"/>
  <c r="C138" i="5"/>
  <c r="H138" i="5" s="1"/>
  <c r="L137" i="5"/>
  <c r="K137" i="5"/>
  <c r="J137" i="5"/>
  <c r="C137" i="5"/>
  <c r="D137" i="5" s="1"/>
  <c r="C136" i="5"/>
  <c r="I135" i="5"/>
  <c r="C135" i="5"/>
  <c r="J135" i="5" s="1"/>
  <c r="K134" i="5"/>
  <c r="C134" i="5"/>
  <c r="I134" i="5" s="1"/>
  <c r="C133" i="5"/>
  <c r="C132" i="5"/>
  <c r="J132" i="5" s="1"/>
  <c r="C131" i="5"/>
  <c r="I131" i="5" s="1"/>
  <c r="C130" i="5"/>
  <c r="D130" i="5" s="1"/>
  <c r="C129" i="5"/>
  <c r="L129" i="5" s="1"/>
  <c r="C128" i="5"/>
  <c r="C127" i="5"/>
  <c r="G127" i="5" s="1"/>
  <c r="J126" i="5"/>
  <c r="I126" i="5"/>
  <c r="F126" i="5"/>
  <c r="E126" i="5"/>
  <c r="C126" i="5"/>
  <c r="D126" i="5" s="1"/>
  <c r="J125" i="5"/>
  <c r="I125" i="5"/>
  <c r="G125" i="5"/>
  <c r="F125" i="5"/>
  <c r="C125" i="5"/>
  <c r="D125" i="5" s="1"/>
  <c r="C124" i="5"/>
  <c r="F124" i="5" s="1"/>
  <c r="C123" i="5"/>
  <c r="J123" i="5" s="1"/>
  <c r="C122" i="5"/>
  <c r="C121" i="5"/>
  <c r="E121" i="5" s="1"/>
  <c r="C120" i="5"/>
  <c r="L120" i="5" s="1"/>
  <c r="C119" i="5"/>
  <c r="C118" i="5"/>
  <c r="J118" i="5" s="1"/>
  <c r="C117" i="5"/>
  <c r="F117" i="5" s="1"/>
  <c r="C116" i="5"/>
  <c r="H115" i="5"/>
  <c r="G115" i="5"/>
  <c r="F115" i="5"/>
  <c r="C115" i="5"/>
  <c r="L115" i="5" s="1"/>
  <c r="C114" i="5"/>
  <c r="H114" i="5" s="1"/>
  <c r="C113" i="5"/>
  <c r="D113" i="5" s="1"/>
  <c r="C112" i="5"/>
  <c r="H112" i="5" s="1"/>
  <c r="C111" i="5"/>
  <c r="J111" i="5" s="1"/>
  <c r="C110" i="5"/>
  <c r="I110" i="5" s="1"/>
  <c r="C109" i="5"/>
  <c r="C108" i="5"/>
  <c r="J108" i="5" s="1"/>
  <c r="C107" i="5"/>
  <c r="L107" i="5" s="1"/>
  <c r="C106" i="5"/>
  <c r="H106" i="5" s="1"/>
  <c r="C105" i="5"/>
  <c r="H105" i="5" s="1"/>
  <c r="G104" i="5"/>
  <c r="F104" i="5"/>
  <c r="E104" i="5"/>
  <c r="C104" i="5"/>
  <c r="C103" i="5"/>
  <c r="I103" i="5" s="1"/>
  <c r="C102" i="5"/>
  <c r="C101" i="5"/>
  <c r="J101" i="5" s="1"/>
  <c r="C100" i="5"/>
  <c r="J100" i="5" s="1"/>
  <c r="C99" i="5"/>
  <c r="L99" i="5" s="1"/>
  <c r="C98" i="5"/>
  <c r="C97" i="5"/>
  <c r="D97" i="5" s="1"/>
  <c r="C96" i="5"/>
  <c r="D96" i="5" s="1"/>
  <c r="C95" i="5"/>
  <c r="C94" i="5"/>
  <c r="G94" i="5" s="1"/>
  <c r="J93" i="5"/>
  <c r="C93" i="5"/>
  <c r="F93" i="5" s="1"/>
  <c r="J92" i="5"/>
  <c r="G92" i="5"/>
  <c r="C92" i="5"/>
  <c r="K92" i="5" s="1"/>
  <c r="C91" i="5"/>
  <c r="C90" i="5"/>
  <c r="L89" i="5"/>
  <c r="K89" i="5"/>
  <c r="J89" i="5"/>
  <c r="C89" i="5"/>
  <c r="I89" i="5" s="1"/>
  <c r="C88" i="5"/>
  <c r="J88" i="5" s="1"/>
  <c r="C87" i="5"/>
  <c r="K87" i="5" s="1"/>
  <c r="L86" i="5"/>
  <c r="C86" i="5"/>
  <c r="C85" i="5"/>
  <c r="G85" i="5" s="1"/>
  <c r="C84" i="5"/>
  <c r="F84" i="5" s="1"/>
  <c r="C83" i="5"/>
  <c r="F83" i="5" s="1"/>
  <c r="H82" i="5"/>
  <c r="C82" i="5"/>
  <c r="L82" i="5" s="1"/>
  <c r="C81" i="5"/>
  <c r="K81" i="5" s="1"/>
  <c r="C80" i="5"/>
  <c r="C79" i="5"/>
  <c r="J79" i="5" s="1"/>
  <c r="L78" i="5"/>
  <c r="I78" i="5"/>
  <c r="C78" i="5"/>
  <c r="E78" i="5" s="1"/>
  <c r="C77" i="5"/>
  <c r="C76" i="5"/>
  <c r="D76" i="5" s="1"/>
  <c r="C75" i="5"/>
  <c r="J75" i="5" s="1"/>
  <c r="C74" i="5"/>
  <c r="C73" i="5"/>
  <c r="K73" i="5" s="1"/>
  <c r="J72" i="5"/>
  <c r="I72" i="5"/>
  <c r="F72" i="5"/>
  <c r="E72" i="5"/>
  <c r="C72" i="5"/>
  <c r="D72" i="5" s="1"/>
  <c r="K71" i="5"/>
  <c r="J71" i="5"/>
  <c r="C71" i="5"/>
  <c r="L71" i="5" s="1"/>
  <c r="C70" i="5"/>
  <c r="C69" i="5"/>
  <c r="I69" i="5" s="1"/>
  <c r="C68" i="5"/>
  <c r="E68" i="5" s="1"/>
  <c r="C67" i="5"/>
  <c r="L67" i="5" s="1"/>
  <c r="C66" i="5"/>
  <c r="L66" i="5" s="1"/>
  <c r="C65" i="5"/>
  <c r="L65" i="5" s="1"/>
  <c r="L64" i="5"/>
  <c r="K64" i="5"/>
  <c r="J64" i="5"/>
  <c r="I64" i="5"/>
  <c r="C64" i="5"/>
  <c r="D64" i="5" s="1"/>
  <c r="C63" i="5"/>
  <c r="L63" i="5" s="1"/>
  <c r="C62" i="5"/>
  <c r="L62" i="5" s="1"/>
  <c r="C61" i="5"/>
  <c r="L61" i="5" s="1"/>
  <c r="G60" i="5"/>
  <c r="C60" i="5"/>
  <c r="I60" i="5" s="1"/>
  <c r="C59" i="5"/>
  <c r="J59" i="5" s="1"/>
  <c r="C58" i="5"/>
  <c r="L58" i="5" s="1"/>
  <c r="C57" i="5"/>
  <c r="D57" i="5" s="1"/>
  <c r="C56" i="5"/>
  <c r="D56" i="5" s="1"/>
  <c r="F55" i="5"/>
  <c r="C55" i="5"/>
  <c r="I54" i="5"/>
  <c r="C54" i="5"/>
  <c r="L54" i="5" s="1"/>
  <c r="C53" i="5"/>
  <c r="C52" i="5"/>
  <c r="H52" i="5" s="1"/>
  <c r="C51" i="5"/>
  <c r="C50" i="5"/>
  <c r="H50" i="5" s="1"/>
  <c r="C49" i="5"/>
  <c r="C48" i="5"/>
  <c r="L48" i="5" s="1"/>
  <c r="C47" i="5"/>
  <c r="L47" i="5" s="1"/>
  <c r="C46" i="5"/>
  <c r="C45" i="5"/>
  <c r="F45" i="5" s="1"/>
  <c r="C44" i="5"/>
  <c r="J44" i="5" s="1"/>
  <c r="C43" i="5"/>
  <c r="I43" i="5" s="1"/>
  <c r="C42" i="5"/>
  <c r="C41" i="5"/>
  <c r="K41" i="5" s="1"/>
  <c r="C40" i="5"/>
  <c r="C39" i="5"/>
  <c r="K39" i="5" s="1"/>
  <c r="C38" i="5"/>
  <c r="K38" i="5" s="1"/>
  <c r="J37" i="5"/>
  <c r="I37" i="5"/>
  <c r="H37" i="5"/>
  <c r="C37" i="5"/>
  <c r="L37" i="5" s="1"/>
  <c r="K36" i="5"/>
  <c r="J36" i="5"/>
  <c r="C36" i="5"/>
  <c r="G36" i="5" s="1"/>
  <c r="C35" i="5"/>
  <c r="C34" i="5"/>
  <c r="C33" i="5"/>
  <c r="D33" i="5" s="1"/>
  <c r="C32" i="5"/>
  <c r="F32" i="5" s="1"/>
  <c r="C31" i="5"/>
  <c r="H31" i="5" s="1"/>
  <c r="C30" i="5"/>
  <c r="L30" i="5" s="1"/>
  <c r="C29" i="5"/>
  <c r="L29" i="5" s="1"/>
  <c r="K28" i="5"/>
  <c r="C28" i="5"/>
  <c r="G28" i="5" s="1"/>
  <c r="C27" i="5"/>
  <c r="E27" i="5" s="1"/>
  <c r="C26" i="5"/>
  <c r="K26" i="5" s="1"/>
  <c r="C25" i="5"/>
  <c r="D25" i="5" s="1"/>
  <c r="C24" i="5"/>
  <c r="L23" i="5"/>
  <c r="C23" i="5"/>
  <c r="H23" i="5" s="1"/>
  <c r="C22" i="5"/>
  <c r="L22" i="5" s="1"/>
  <c r="C21" i="5"/>
  <c r="L21" i="5" s="1"/>
  <c r="C20" i="5"/>
  <c r="G20" i="5" s="1"/>
  <c r="C19" i="5"/>
  <c r="C18" i="5"/>
  <c r="K18" i="5" s="1"/>
  <c r="C17" i="5"/>
  <c r="D17" i="5" s="1"/>
  <c r="C16" i="5"/>
  <c r="C15" i="5"/>
  <c r="H15" i="5" s="1"/>
  <c r="C14" i="5"/>
  <c r="L14" i="5" s="1"/>
  <c r="C13" i="5"/>
  <c r="L13" i="5" s="1"/>
  <c r="K12" i="5"/>
  <c r="C12" i="5"/>
  <c r="G12" i="5" s="1"/>
  <c r="C11" i="5"/>
  <c r="C10" i="5"/>
  <c r="K10" i="5" s="1"/>
  <c r="C9" i="5"/>
  <c r="D9" i="5" s="1"/>
  <c r="C8" i="5"/>
  <c r="C7" i="5"/>
  <c r="H7" i="5" s="1"/>
  <c r="C6" i="5"/>
  <c r="L6" i="5" s="1"/>
  <c r="I5" i="5"/>
  <c r="C5" i="5"/>
  <c r="C4" i="5"/>
  <c r="G4" i="5" s="1"/>
  <c r="C3" i="5"/>
  <c r="H3" i="5" s="1"/>
  <c r="C4" i="4"/>
  <c r="C5" i="4"/>
  <c r="C6" i="4"/>
  <c r="C7" i="4"/>
  <c r="L7" i="4" s="1"/>
  <c r="C8" i="4"/>
  <c r="E8" i="4" s="1"/>
  <c r="C9" i="4"/>
  <c r="C10" i="4"/>
  <c r="C11" i="4"/>
  <c r="C12" i="4"/>
  <c r="H12" i="4" s="1"/>
  <c r="C13" i="4"/>
  <c r="C14" i="4"/>
  <c r="F14" i="4" s="1"/>
  <c r="C15" i="4"/>
  <c r="L15" i="4" s="1"/>
  <c r="C16" i="4"/>
  <c r="J16" i="4" s="1"/>
  <c r="C17" i="4"/>
  <c r="J17" i="4" s="1"/>
  <c r="C18" i="4"/>
  <c r="K18" i="4" s="1"/>
  <c r="C19" i="4"/>
  <c r="D19" i="4" s="1"/>
  <c r="C20" i="4"/>
  <c r="C21" i="4"/>
  <c r="C22" i="4"/>
  <c r="L22" i="4" s="1"/>
  <c r="C23" i="4"/>
  <c r="L23" i="4" s="1"/>
  <c r="C24" i="4"/>
  <c r="C25" i="4"/>
  <c r="K25" i="4" s="1"/>
  <c r="C26" i="4"/>
  <c r="G26" i="4" s="1"/>
  <c r="C27" i="4"/>
  <c r="C28" i="4"/>
  <c r="E28" i="4" s="1"/>
  <c r="C29" i="4"/>
  <c r="C30" i="4"/>
  <c r="I30" i="4" s="1"/>
  <c r="C31" i="4"/>
  <c r="C32" i="4"/>
  <c r="D32" i="4" s="1"/>
  <c r="C33" i="4"/>
  <c r="C34" i="4"/>
  <c r="F34" i="4" s="1"/>
  <c r="C35" i="4"/>
  <c r="L35" i="4" s="1"/>
  <c r="C36" i="4"/>
  <c r="C37" i="4"/>
  <c r="C38" i="4"/>
  <c r="J38" i="4" s="1"/>
  <c r="C39" i="4"/>
  <c r="C40" i="4"/>
  <c r="D40" i="4" s="1"/>
  <c r="C41" i="4"/>
  <c r="C42" i="4"/>
  <c r="J42" i="4" s="1"/>
  <c r="C43" i="4"/>
  <c r="I43" i="4" s="1"/>
  <c r="C44" i="4"/>
  <c r="F44" i="4" s="1"/>
  <c r="C45" i="4"/>
  <c r="F45" i="4" s="1"/>
  <c r="C46" i="4"/>
  <c r="F46" i="4" s="1"/>
  <c r="C47" i="4"/>
  <c r="L47" i="4" s="1"/>
  <c r="C48" i="4"/>
  <c r="K48" i="4" s="1"/>
  <c r="C49" i="4"/>
  <c r="J49" i="4" s="1"/>
  <c r="C50" i="4"/>
  <c r="G50" i="4" s="1"/>
  <c r="C51" i="4"/>
  <c r="I51" i="4" s="1"/>
  <c r="C52" i="4"/>
  <c r="C53" i="4"/>
  <c r="C54" i="4"/>
  <c r="K54" i="4" s="1"/>
  <c r="C55" i="4"/>
  <c r="L55" i="4" s="1"/>
  <c r="C56" i="4"/>
  <c r="K56" i="4" s="1"/>
  <c r="C57" i="4"/>
  <c r="H57" i="4" s="1"/>
  <c r="C58" i="4"/>
  <c r="C59" i="4"/>
  <c r="C60" i="4"/>
  <c r="J60" i="4" s="1"/>
  <c r="C61" i="4"/>
  <c r="C62" i="4"/>
  <c r="K62" i="4" s="1"/>
  <c r="C63" i="4"/>
  <c r="L63" i="4" s="1"/>
  <c r="J6" i="4"/>
  <c r="I10" i="4"/>
  <c r="D11" i="4"/>
  <c r="K13" i="4"/>
  <c r="F22" i="4"/>
  <c r="L28" i="4"/>
  <c r="G29" i="4"/>
  <c r="F30" i="4"/>
  <c r="L38" i="4"/>
  <c r="L39" i="4"/>
  <c r="H54" i="4"/>
  <c r="G58" i="4"/>
  <c r="J59" i="4"/>
  <c r="L60" i="4"/>
  <c r="G61" i="4"/>
  <c r="G11" i="4"/>
  <c r="L12" i="4"/>
  <c r="I24" i="4"/>
  <c r="L27" i="4"/>
  <c r="J28" i="4"/>
  <c r="L30" i="4"/>
  <c r="L31" i="4"/>
  <c r="J32" i="4"/>
  <c r="K33" i="4"/>
  <c r="J41" i="4"/>
  <c r="C3" i="4"/>
  <c r="G3" i="4" s="1"/>
  <c r="H63" i="4"/>
  <c r="F60" i="4"/>
  <c r="E60" i="4"/>
  <c r="L59" i="4"/>
  <c r="G59" i="4"/>
  <c r="E58" i="4"/>
  <c r="L58" i="4"/>
  <c r="K57" i="4"/>
  <c r="H56" i="4"/>
  <c r="F56" i="4"/>
  <c r="L54" i="4"/>
  <c r="I54" i="4"/>
  <c r="E54" i="4"/>
  <c r="D54" i="4"/>
  <c r="F54" i="4"/>
  <c r="G53" i="4"/>
  <c r="F53" i="4"/>
  <c r="K53" i="4"/>
  <c r="L52" i="4"/>
  <c r="F52" i="4"/>
  <c r="E52" i="4"/>
  <c r="J52" i="4"/>
  <c r="E46" i="4"/>
  <c r="D46" i="4"/>
  <c r="K43" i="4"/>
  <c r="J43" i="4"/>
  <c r="E43" i="4"/>
  <c r="D43" i="4"/>
  <c r="F42" i="4"/>
  <c r="E42" i="4"/>
  <c r="D42" i="4"/>
  <c r="K42" i="4"/>
  <c r="J40" i="4"/>
  <c r="I40" i="4"/>
  <c r="H40" i="4"/>
  <c r="I38" i="4"/>
  <c r="H38" i="4"/>
  <c r="G38" i="4"/>
  <c r="E38" i="4"/>
  <c r="D38" i="4"/>
  <c r="F38" i="4"/>
  <c r="G37" i="4"/>
  <c r="F37" i="4"/>
  <c r="K37" i="4"/>
  <c r="L36" i="4"/>
  <c r="F36" i="4"/>
  <c r="E36" i="4"/>
  <c r="J36" i="4"/>
  <c r="L32" i="4"/>
  <c r="J27" i="4"/>
  <c r="I27" i="4"/>
  <c r="H27" i="4"/>
  <c r="G27" i="4"/>
  <c r="E27" i="4"/>
  <c r="D27" i="4"/>
  <c r="L26" i="4"/>
  <c r="J26" i="4"/>
  <c r="I26" i="4"/>
  <c r="K24" i="4"/>
  <c r="J24" i="4"/>
  <c r="L24" i="4"/>
  <c r="K22" i="4"/>
  <c r="J22" i="4"/>
  <c r="I22" i="4"/>
  <c r="H22" i="4"/>
  <c r="G22" i="4"/>
  <c r="E22" i="4"/>
  <c r="D22" i="4"/>
  <c r="G21" i="4"/>
  <c r="F21" i="4"/>
  <c r="L21" i="4"/>
  <c r="L20" i="4"/>
  <c r="H20" i="4"/>
  <c r="F20" i="4"/>
  <c r="E20" i="4"/>
  <c r="J20" i="4"/>
  <c r="L11" i="4"/>
  <c r="K11" i="4"/>
  <c r="J11" i="4"/>
  <c r="H11" i="4"/>
  <c r="E11" i="4"/>
  <c r="F10" i="4"/>
  <c r="E10" i="4"/>
  <c r="K10" i="4"/>
  <c r="K9" i="4"/>
  <c r="J9" i="4"/>
  <c r="H9" i="4"/>
  <c r="L6" i="4"/>
  <c r="K6" i="4"/>
  <c r="H6" i="4"/>
  <c r="G6" i="4"/>
  <c r="E6" i="4"/>
  <c r="D6" i="4"/>
  <c r="F6" i="4"/>
  <c r="G5" i="4"/>
  <c r="F5" i="4"/>
  <c r="L5" i="4"/>
  <c r="L4" i="4"/>
  <c r="H4" i="4"/>
  <c r="F4" i="4"/>
  <c r="E4" i="4"/>
  <c r="J4" i="4"/>
  <c r="L3" i="4"/>
  <c r="K3" i="4"/>
  <c r="J3" i="4"/>
  <c r="H3" i="4"/>
  <c r="E3" i="4"/>
  <c r="D3" i="4"/>
  <c r="K57" i="3"/>
  <c r="L120" i="3"/>
  <c r="L144" i="3"/>
  <c r="K155" i="3"/>
  <c r="K187" i="3"/>
  <c r="L205" i="3"/>
  <c r="F9" i="3"/>
  <c r="F52" i="3"/>
  <c r="F73" i="3"/>
  <c r="F116" i="3"/>
  <c r="F137" i="3"/>
  <c r="F158" i="3"/>
  <c r="F180" i="3"/>
  <c r="F199" i="3"/>
  <c r="F207" i="3"/>
  <c r="E4" i="3"/>
  <c r="E20" i="3"/>
  <c r="E36" i="3"/>
  <c r="E52" i="3"/>
  <c r="E62" i="3"/>
  <c r="E94" i="3"/>
  <c r="E126" i="3"/>
  <c r="E158" i="3"/>
  <c r="E190" i="3"/>
  <c r="E203" i="3"/>
  <c r="E204" i="3"/>
  <c r="E207" i="3"/>
  <c r="D4" i="3"/>
  <c r="D7" i="3"/>
  <c r="D9" i="3"/>
  <c r="D15" i="3"/>
  <c r="D19" i="3"/>
  <c r="D20" i="3"/>
  <c r="D23" i="3"/>
  <c r="D25" i="3"/>
  <c r="D31" i="3"/>
  <c r="D35" i="3"/>
  <c r="D36" i="3"/>
  <c r="D39" i="3"/>
  <c r="D41" i="3"/>
  <c r="D47" i="3"/>
  <c r="D51" i="3"/>
  <c r="D52" i="3"/>
  <c r="D55" i="3"/>
  <c r="D57" i="3"/>
  <c r="D63" i="3"/>
  <c r="D67" i="3"/>
  <c r="D68" i="3"/>
  <c r="D71" i="3"/>
  <c r="D73" i="3"/>
  <c r="D79" i="3"/>
  <c r="D83" i="3"/>
  <c r="D84" i="3"/>
  <c r="D87" i="3"/>
  <c r="D89" i="3"/>
  <c r="D95" i="3"/>
  <c r="D99" i="3"/>
  <c r="D100" i="3"/>
  <c r="D103" i="3"/>
  <c r="D105" i="3"/>
  <c r="D111" i="3"/>
  <c r="D115" i="3"/>
  <c r="D116" i="3"/>
  <c r="D119" i="3"/>
  <c r="D121" i="3"/>
  <c r="D127" i="3"/>
  <c r="D131" i="3"/>
  <c r="D132" i="3"/>
  <c r="D135" i="3"/>
  <c r="D137" i="3"/>
  <c r="D143" i="3"/>
  <c r="D147" i="3"/>
  <c r="D148" i="3"/>
  <c r="D151" i="3"/>
  <c r="D153" i="3"/>
  <c r="D159" i="3"/>
  <c r="D163" i="3"/>
  <c r="D164" i="3"/>
  <c r="D167" i="3"/>
  <c r="D169" i="3"/>
  <c r="D175" i="3"/>
  <c r="D179" i="3"/>
  <c r="D180" i="3"/>
  <c r="D183" i="3"/>
  <c r="D185" i="3"/>
  <c r="D191" i="3"/>
  <c r="D195" i="3"/>
  <c r="D196" i="3"/>
  <c r="D199" i="3"/>
  <c r="D201" i="3"/>
  <c r="D207" i="3"/>
  <c r="D211" i="3"/>
  <c r="D212" i="3"/>
  <c r="C4" i="3"/>
  <c r="F4" i="3" s="1"/>
  <c r="C5" i="3"/>
  <c r="C6" i="3"/>
  <c r="C7" i="3"/>
  <c r="E7" i="3" s="1"/>
  <c r="C8" i="3"/>
  <c r="D8" i="3" s="1"/>
  <c r="C9" i="3"/>
  <c r="C10" i="3"/>
  <c r="C11" i="3"/>
  <c r="C12" i="3"/>
  <c r="C13" i="3"/>
  <c r="C14" i="3"/>
  <c r="C15" i="3"/>
  <c r="C16" i="3"/>
  <c r="E16" i="3" s="1"/>
  <c r="C17" i="3"/>
  <c r="C18" i="3"/>
  <c r="C19" i="3"/>
  <c r="C20" i="3"/>
  <c r="C21" i="3"/>
  <c r="C22" i="3"/>
  <c r="C23" i="3"/>
  <c r="C24" i="3"/>
  <c r="D24" i="3" s="1"/>
  <c r="C25" i="3"/>
  <c r="C26" i="3"/>
  <c r="C27" i="3"/>
  <c r="C28" i="3"/>
  <c r="C29" i="3"/>
  <c r="C30" i="3"/>
  <c r="C31" i="3"/>
  <c r="C32" i="3"/>
  <c r="E32" i="3" s="1"/>
  <c r="C33" i="3"/>
  <c r="C34" i="3"/>
  <c r="C35" i="3"/>
  <c r="C36" i="3"/>
  <c r="C37" i="3"/>
  <c r="C38" i="3"/>
  <c r="C39" i="3"/>
  <c r="C40" i="3"/>
  <c r="D40" i="3" s="1"/>
  <c r="C41" i="3"/>
  <c r="C42" i="3"/>
  <c r="C43" i="3"/>
  <c r="C44" i="3"/>
  <c r="C45" i="3"/>
  <c r="C46" i="3"/>
  <c r="C47" i="3"/>
  <c r="C48" i="3"/>
  <c r="E48" i="3" s="1"/>
  <c r="C49" i="3"/>
  <c r="C50" i="3"/>
  <c r="C51" i="3"/>
  <c r="C52" i="3"/>
  <c r="C53" i="3"/>
  <c r="C54" i="3"/>
  <c r="C55" i="3"/>
  <c r="C56" i="3"/>
  <c r="D56" i="3" s="1"/>
  <c r="C57" i="3"/>
  <c r="C58" i="3"/>
  <c r="C59" i="3"/>
  <c r="C60" i="3"/>
  <c r="E60" i="3" s="1"/>
  <c r="C61" i="3"/>
  <c r="C62" i="3"/>
  <c r="C63" i="3"/>
  <c r="C64" i="3"/>
  <c r="C65" i="3"/>
  <c r="C66" i="3"/>
  <c r="C67" i="3"/>
  <c r="C68" i="3"/>
  <c r="F68" i="3" s="1"/>
  <c r="C69" i="3"/>
  <c r="C70" i="3"/>
  <c r="C71" i="3"/>
  <c r="C72" i="3"/>
  <c r="D72" i="3" s="1"/>
  <c r="C73" i="3"/>
  <c r="C74" i="3"/>
  <c r="C75" i="3"/>
  <c r="C76" i="3"/>
  <c r="E76" i="3" s="1"/>
  <c r="C77" i="3"/>
  <c r="C78" i="3"/>
  <c r="C79" i="3"/>
  <c r="C80" i="3"/>
  <c r="C81" i="3"/>
  <c r="C82" i="3"/>
  <c r="C83" i="3"/>
  <c r="C84" i="3"/>
  <c r="E84" i="3" s="1"/>
  <c r="C85" i="3"/>
  <c r="C86" i="3"/>
  <c r="E86" i="3" s="1"/>
  <c r="C87" i="3"/>
  <c r="C88" i="3"/>
  <c r="D88" i="3" s="1"/>
  <c r="C89" i="3"/>
  <c r="C90" i="3"/>
  <c r="C91" i="3"/>
  <c r="C92" i="3"/>
  <c r="E92" i="3" s="1"/>
  <c r="C93" i="3"/>
  <c r="C94" i="3"/>
  <c r="C95" i="3"/>
  <c r="C96" i="3"/>
  <c r="C97" i="3"/>
  <c r="C98" i="3"/>
  <c r="C99" i="3"/>
  <c r="C100" i="3"/>
  <c r="E100" i="3" s="1"/>
  <c r="C101" i="3"/>
  <c r="C102" i="3"/>
  <c r="C103" i="3"/>
  <c r="C104" i="3"/>
  <c r="D104" i="3" s="1"/>
  <c r="C105" i="3"/>
  <c r="C106" i="3"/>
  <c r="C107" i="3"/>
  <c r="C108" i="3"/>
  <c r="E108" i="3" s="1"/>
  <c r="C109" i="3"/>
  <c r="C110" i="3"/>
  <c r="C111" i="3"/>
  <c r="C112" i="3"/>
  <c r="C113" i="3"/>
  <c r="C114" i="3"/>
  <c r="C115" i="3"/>
  <c r="C116" i="3"/>
  <c r="E116" i="3" s="1"/>
  <c r="C117" i="3"/>
  <c r="C118" i="3"/>
  <c r="E118" i="3" s="1"/>
  <c r="C119" i="3"/>
  <c r="C120" i="3"/>
  <c r="D120" i="3" s="1"/>
  <c r="C121" i="3"/>
  <c r="C122" i="3"/>
  <c r="C123" i="3"/>
  <c r="C124" i="3"/>
  <c r="E124" i="3" s="1"/>
  <c r="C125" i="3"/>
  <c r="C126" i="3"/>
  <c r="C127" i="3"/>
  <c r="C128" i="3"/>
  <c r="C129" i="3"/>
  <c r="C130" i="3"/>
  <c r="C131" i="3"/>
  <c r="C132" i="3"/>
  <c r="F132" i="3" s="1"/>
  <c r="C133" i="3"/>
  <c r="C134" i="3"/>
  <c r="C135" i="3"/>
  <c r="C136" i="3"/>
  <c r="D136" i="3" s="1"/>
  <c r="C137" i="3"/>
  <c r="C138" i="3"/>
  <c r="C139" i="3"/>
  <c r="K139" i="3" s="1"/>
  <c r="C140" i="3"/>
  <c r="E140" i="3" s="1"/>
  <c r="C141" i="3"/>
  <c r="C142" i="3"/>
  <c r="C143" i="3"/>
  <c r="C144" i="3"/>
  <c r="C145" i="3"/>
  <c r="C146" i="3"/>
  <c r="C147" i="3"/>
  <c r="C148" i="3"/>
  <c r="E148" i="3" s="1"/>
  <c r="C149" i="3"/>
  <c r="C150" i="3"/>
  <c r="E150" i="3" s="1"/>
  <c r="C151" i="3"/>
  <c r="C152" i="3"/>
  <c r="D152" i="3" s="1"/>
  <c r="C153" i="3"/>
  <c r="C154" i="3"/>
  <c r="C155" i="3"/>
  <c r="C156" i="3"/>
  <c r="E156" i="3" s="1"/>
  <c r="C157" i="3"/>
  <c r="C158" i="3"/>
  <c r="C159" i="3"/>
  <c r="C160" i="3"/>
  <c r="L160" i="3" s="1"/>
  <c r="C161" i="3"/>
  <c r="C162" i="3"/>
  <c r="C163" i="3"/>
  <c r="C164" i="3"/>
  <c r="E164" i="3" s="1"/>
  <c r="C165" i="3"/>
  <c r="C166" i="3"/>
  <c r="C167" i="3"/>
  <c r="C168" i="3"/>
  <c r="D168" i="3" s="1"/>
  <c r="C169" i="3"/>
  <c r="C170" i="3"/>
  <c r="C171" i="3"/>
  <c r="C172" i="3"/>
  <c r="E172" i="3" s="1"/>
  <c r="C173" i="3"/>
  <c r="C174" i="3"/>
  <c r="E174" i="3" s="1"/>
  <c r="C175" i="3"/>
  <c r="C176" i="3"/>
  <c r="C177" i="3"/>
  <c r="C178" i="3"/>
  <c r="C179" i="3"/>
  <c r="C180" i="3"/>
  <c r="E180" i="3" s="1"/>
  <c r="C181" i="3"/>
  <c r="C182" i="3"/>
  <c r="E182" i="3" s="1"/>
  <c r="C183" i="3"/>
  <c r="C184" i="3"/>
  <c r="D184" i="3" s="1"/>
  <c r="C185" i="3"/>
  <c r="C186" i="3"/>
  <c r="C187" i="3"/>
  <c r="C188" i="3"/>
  <c r="E188" i="3" s="1"/>
  <c r="C189" i="3"/>
  <c r="C190" i="3"/>
  <c r="C191" i="3"/>
  <c r="C192" i="3"/>
  <c r="C193" i="3"/>
  <c r="C194" i="3"/>
  <c r="C195" i="3"/>
  <c r="F195" i="3" s="1"/>
  <c r="C196" i="3"/>
  <c r="E196" i="3" s="1"/>
  <c r="C197" i="3"/>
  <c r="C198" i="3"/>
  <c r="C199" i="3"/>
  <c r="C200" i="3"/>
  <c r="D200" i="3" s="1"/>
  <c r="C201" i="3"/>
  <c r="C202" i="3"/>
  <c r="C203" i="3"/>
  <c r="C204" i="3"/>
  <c r="C205" i="3"/>
  <c r="C206" i="3"/>
  <c r="C207" i="3"/>
  <c r="C208" i="3"/>
  <c r="E208" i="3" s="1"/>
  <c r="C209" i="3"/>
  <c r="C210" i="3"/>
  <c r="C211" i="3"/>
  <c r="F211" i="3" s="1"/>
  <c r="C212" i="3"/>
  <c r="C213" i="3"/>
  <c r="C3" i="3"/>
  <c r="K6" i="1"/>
  <c r="K14" i="1"/>
  <c r="K22" i="1"/>
  <c r="K30" i="1"/>
  <c r="K38" i="1"/>
  <c r="K46" i="1"/>
  <c r="K54" i="1"/>
  <c r="K62" i="1"/>
  <c r="J17" i="1"/>
  <c r="J33" i="1"/>
  <c r="J49" i="1"/>
  <c r="I4" i="1"/>
  <c r="I12" i="1"/>
  <c r="I16" i="1"/>
  <c r="I20" i="1"/>
  <c r="I28" i="1"/>
  <c r="I32" i="1"/>
  <c r="I36" i="1"/>
  <c r="I44" i="1"/>
  <c r="I48" i="1"/>
  <c r="I52" i="1"/>
  <c r="I60" i="1"/>
  <c r="I3" i="1"/>
  <c r="H60" i="1"/>
  <c r="H3" i="1"/>
  <c r="G8" i="1"/>
  <c r="G16" i="1"/>
  <c r="G24" i="1"/>
  <c r="G32" i="1"/>
  <c r="G40" i="1"/>
  <c r="G48" i="1"/>
  <c r="F4" i="1"/>
  <c r="F6" i="1"/>
  <c r="F8" i="1"/>
  <c r="F10" i="1"/>
  <c r="F12" i="1"/>
  <c r="F14" i="1"/>
  <c r="F16" i="1"/>
  <c r="F18" i="1"/>
  <c r="F20" i="1"/>
  <c r="F22" i="1"/>
  <c r="F24" i="1"/>
  <c r="F26" i="1"/>
  <c r="F28" i="1"/>
  <c r="F30" i="1"/>
  <c r="F32" i="1"/>
  <c r="F34" i="1"/>
  <c r="F36" i="1"/>
  <c r="F38" i="1"/>
  <c r="F40" i="1"/>
  <c r="F42" i="1"/>
  <c r="F44" i="1"/>
  <c r="F46" i="1"/>
  <c r="F48" i="1"/>
  <c r="F50" i="1"/>
  <c r="F52" i="1"/>
  <c r="F54" i="1"/>
  <c r="F56" i="1"/>
  <c r="F58" i="1"/>
  <c r="F60" i="1"/>
  <c r="F62" i="1"/>
  <c r="F3" i="1"/>
  <c r="E4" i="1"/>
  <c r="E5" i="1"/>
  <c r="E8" i="1"/>
  <c r="E9" i="1"/>
  <c r="E12" i="1"/>
  <c r="E13" i="1"/>
  <c r="E16" i="1"/>
  <c r="E17" i="1"/>
  <c r="E20" i="1"/>
  <c r="E21" i="1"/>
  <c r="E24" i="1"/>
  <c r="E25" i="1"/>
  <c r="E28" i="1"/>
  <c r="E29" i="1"/>
  <c r="E32" i="1"/>
  <c r="E33" i="1"/>
  <c r="E36" i="1"/>
  <c r="E37" i="1"/>
  <c r="E40" i="1"/>
  <c r="E41" i="1"/>
  <c r="E44" i="1"/>
  <c r="E45" i="1"/>
  <c r="E48" i="1"/>
  <c r="E49" i="1"/>
  <c r="E52" i="1"/>
  <c r="E53" i="1"/>
  <c r="E56" i="1"/>
  <c r="E57" i="1"/>
  <c r="E60" i="1"/>
  <c r="E61" i="1"/>
  <c r="E3" i="1"/>
  <c r="D4" i="1"/>
  <c r="D6" i="1"/>
  <c r="D8" i="1"/>
  <c r="D10" i="1"/>
  <c r="D12" i="1"/>
  <c r="D14" i="1"/>
  <c r="D16" i="1"/>
  <c r="D18" i="1"/>
  <c r="D20" i="1"/>
  <c r="D22" i="1"/>
  <c r="D24" i="1"/>
  <c r="D26" i="1"/>
  <c r="D28" i="1"/>
  <c r="D30" i="1"/>
  <c r="D32" i="1"/>
  <c r="D34" i="1"/>
  <c r="D36" i="1"/>
  <c r="D38" i="1"/>
  <c r="D40" i="1"/>
  <c r="D42" i="1"/>
  <c r="D44" i="1"/>
  <c r="D46" i="1"/>
  <c r="D48" i="1"/>
  <c r="D50" i="1"/>
  <c r="D52" i="1"/>
  <c r="D54" i="1"/>
  <c r="D56" i="1"/>
  <c r="D58" i="1"/>
  <c r="D60" i="1"/>
  <c r="D62" i="1"/>
  <c r="D3" i="1"/>
  <c r="C4" i="1"/>
  <c r="C5" i="1"/>
  <c r="F5" i="1" s="1"/>
  <c r="C6" i="1"/>
  <c r="C7" i="1"/>
  <c r="E7" i="1" s="1"/>
  <c r="C8" i="1"/>
  <c r="C9" i="1"/>
  <c r="F9" i="1" s="1"/>
  <c r="C10" i="1"/>
  <c r="C11" i="1"/>
  <c r="D11" i="1" s="1"/>
  <c r="C12" i="1"/>
  <c r="C13" i="1"/>
  <c r="J13" i="1" s="1"/>
  <c r="C14" i="1"/>
  <c r="C15" i="1"/>
  <c r="G15" i="1" s="1"/>
  <c r="C16" i="1"/>
  <c r="C17" i="1"/>
  <c r="F17" i="1" s="1"/>
  <c r="C18" i="1"/>
  <c r="C19" i="1"/>
  <c r="H19" i="1" s="1"/>
  <c r="C20" i="1"/>
  <c r="C21" i="1"/>
  <c r="F21" i="1" s="1"/>
  <c r="C22" i="1"/>
  <c r="C23" i="1"/>
  <c r="E23" i="1" s="1"/>
  <c r="C24" i="1"/>
  <c r="C25" i="1"/>
  <c r="F25" i="1" s="1"/>
  <c r="C26" i="1"/>
  <c r="C27" i="1"/>
  <c r="D27" i="1" s="1"/>
  <c r="C28" i="1"/>
  <c r="C29" i="1"/>
  <c r="J29" i="1" s="1"/>
  <c r="C30" i="1"/>
  <c r="C31" i="1"/>
  <c r="H31" i="1" s="1"/>
  <c r="C32" i="1"/>
  <c r="C33" i="1"/>
  <c r="F33" i="1" s="1"/>
  <c r="C34" i="1"/>
  <c r="C35" i="1"/>
  <c r="H35" i="1" s="1"/>
  <c r="C36" i="1"/>
  <c r="C37" i="1"/>
  <c r="F37" i="1" s="1"/>
  <c r="C38" i="1"/>
  <c r="C39" i="1"/>
  <c r="G39" i="1" s="1"/>
  <c r="C40" i="1"/>
  <c r="C41" i="1"/>
  <c r="F41" i="1" s="1"/>
  <c r="C42" i="1"/>
  <c r="C43" i="1"/>
  <c r="D43" i="1" s="1"/>
  <c r="C44" i="1"/>
  <c r="C45" i="1"/>
  <c r="J45" i="1" s="1"/>
  <c r="C46" i="1"/>
  <c r="C47" i="1"/>
  <c r="D47" i="1" s="1"/>
  <c r="C48" i="1"/>
  <c r="C49" i="1"/>
  <c r="F49" i="1" s="1"/>
  <c r="C50" i="1"/>
  <c r="C51" i="1"/>
  <c r="H51" i="1" s="1"/>
  <c r="C52" i="1"/>
  <c r="C53" i="1"/>
  <c r="F53" i="1" s="1"/>
  <c r="C54" i="1"/>
  <c r="C55" i="1"/>
  <c r="E55" i="1" s="1"/>
  <c r="C56" i="1"/>
  <c r="C57" i="1"/>
  <c r="F57" i="1" s="1"/>
  <c r="C58" i="1"/>
  <c r="C59" i="1"/>
  <c r="D59" i="1" s="1"/>
  <c r="C60" i="1"/>
  <c r="C61" i="1"/>
  <c r="J61" i="1" s="1"/>
  <c r="C62" i="1"/>
  <c r="C63" i="1"/>
  <c r="E63" i="1" s="1"/>
  <c r="C3" i="1"/>
  <c r="L29" i="2"/>
  <c r="L30" i="2"/>
  <c r="L33" i="2"/>
  <c r="L34" i="2"/>
  <c r="L37" i="2"/>
  <c r="L38" i="2"/>
  <c r="L41" i="2"/>
  <c r="L42" i="2"/>
  <c r="L45" i="2"/>
  <c r="L46" i="2"/>
  <c r="L49" i="2"/>
  <c r="L50" i="2"/>
  <c r="L53" i="2"/>
  <c r="L3" i="2"/>
  <c r="K5" i="2"/>
  <c r="K7" i="2"/>
  <c r="K9" i="2"/>
  <c r="K11" i="2"/>
  <c r="K13" i="2"/>
  <c r="K15" i="2"/>
  <c r="K19" i="2"/>
  <c r="K23" i="2"/>
  <c r="K27" i="2"/>
  <c r="K29" i="2"/>
  <c r="K31" i="2"/>
  <c r="K33" i="2"/>
  <c r="K35" i="2"/>
  <c r="K37" i="2"/>
  <c r="K39" i="2"/>
  <c r="K41" i="2"/>
  <c r="K43" i="2"/>
  <c r="K45" i="2"/>
  <c r="K47" i="2"/>
  <c r="K49" i="2"/>
  <c r="K51" i="2"/>
  <c r="K53" i="2"/>
  <c r="J4" i="2"/>
  <c r="J7" i="2"/>
  <c r="J8" i="2"/>
  <c r="J11" i="2"/>
  <c r="J12" i="2"/>
  <c r="J15" i="2"/>
  <c r="J16" i="2"/>
  <c r="J19" i="2"/>
  <c r="J20" i="2"/>
  <c r="J23" i="2"/>
  <c r="J24" i="2"/>
  <c r="J27" i="2"/>
  <c r="J28" i="2"/>
  <c r="J3" i="2"/>
  <c r="I5" i="2"/>
  <c r="I7" i="2"/>
  <c r="I9" i="2"/>
  <c r="I11" i="2"/>
  <c r="I13" i="2"/>
  <c r="I15" i="2"/>
  <c r="I17" i="2"/>
  <c r="I19" i="2"/>
  <c r="I21" i="2"/>
  <c r="I23" i="2"/>
  <c r="I25" i="2"/>
  <c r="I27" i="2"/>
  <c r="I29" i="2"/>
  <c r="I31" i="2"/>
  <c r="I33" i="2"/>
  <c r="I35" i="2"/>
  <c r="I37" i="2"/>
  <c r="I39" i="2"/>
  <c r="I41" i="2"/>
  <c r="I43" i="2"/>
  <c r="I45" i="2"/>
  <c r="I47" i="2"/>
  <c r="I49" i="2"/>
  <c r="I51" i="2"/>
  <c r="I53" i="2"/>
  <c r="H29" i="2"/>
  <c r="H30" i="2"/>
  <c r="H33" i="2"/>
  <c r="H34" i="2"/>
  <c r="H37" i="2"/>
  <c r="H38" i="2"/>
  <c r="H41" i="2"/>
  <c r="H42" i="2"/>
  <c r="H45" i="2"/>
  <c r="H46" i="2"/>
  <c r="H49" i="2"/>
  <c r="H50" i="2"/>
  <c r="H53" i="2"/>
  <c r="H3" i="2"/>
  <c r="G5" i="2"/>
  <c r="G7" i="2"/>
  <c r="G9" i="2"/>
  <c r="G11" i="2"/>
  <c r="G13" i="2"/>
  <c r="G15" i="2"/>
  <c r="G17" i="2"/>
  <c r="G19" i="2"/>
  <c r="G21" i="2"/>
  <c r="G23" i="2"/>
  <c r="G25" i="2"/>
  <c r="G27" i="2"/>
  <c r="G29" i="2"/>
  <c r="G31" i="2"/>
  <c r="G33" i="2"/>
  <c r="G35" i="2"/>
  <c r="G37" i="2"/>
  <c r="G39" i="2"/>
  <c r="G41" i="2"/>
  <c r="G43" i="2"/>
  <c r="G45" i="2"/>
  <c r="G47" i="2"/>
  <c r="G49" i="2"/>
  <c r="G51" i="2"/>
  <c r="G53" i="2"/>
  <c r="F4" i="2"/>
  <c r="F7" i="2"/>
  <c r="F8" i="2"/>
  <c r="F11" i="2"/>
  <c r="F12" i="2"/>
  <c r="F15" i="2"/>
  <c r="F16" i="2"/>
  <c r="F19" i="2"/>
  <c r="F20" i="2"/>
  <c r="F23" i="2"/>
  <c r="F24" i="2"/>
  <c r="F27" i="2"/>
  <c r="F28" i="2"/>
  <c r="F3" i="2"/>
  <c r="E5" i="2"/>
  <c r="E7" i="2"/>
  <c r="E9" i="2"/>
  <c r="E11" i="2"/>
  <c r="E13" i="2"/>
  <c r="E15" i="2"/>
  <c r="E17" i="2"/>
  <c r="E19" i="2"/>
  <c r="E21" i="2"/>
  <c r="E23" i="2"/>
  <c r="E25" i="2"/>
  <c r="E27" i="2"/>
  <c r="E29" i="2"/>
  <c r="E31" i="2"/>
  <c r="E33" i="2"/>
  <c r="E35" i="2"/>
  <c r="E37" i="2"/>
  <c r="E39" i="2"/>
  <c r="E41" i="2"/>
  <c r="E43" i="2"/>
  <c r="E45" i="2"/>
  <c r="E47" i="2"/>
  <c r="E49" i="2"/>
  <c r="E51" i="2"/>
  <c r="E53" i="2"/>
  <c r="D29" i="2"/>
  <c r="D30" i="2"/>
  <c r="D33" i="2"/>
  <c r="D34" i="2"/>
  <c r="D37" i="2"/>
  <c r="D38" i="2"/>
  <c r="D41" i="2"/>
  <c r="D42" i="2"/>
  <c r="D45" i="2"/>
  <c r="D46" i="2"/>
  <c r="D49" i="2"/>
  <c r="D50" i="2"/>
  <c r="D53" i="2"/>
  <c r="D3" i="2"/>
  <c r="C29" i="2"/>
  <c r="J29" i="2" s="1"/>
  <c r="C30" i="2"/>
  <c r="I30" i="2" s="1"/>
  <c r="C31" i="2"/>
  <c r="L31" i="2" s="1"/>
  <c r="C32" i="2"/>
  <c r="K32" i="2" s="1"/>
  <c r="C33" i="2"/>
  <c r="J33" i="2" s="1"/>
  <c r="C34" i="2"/>
  <c r="I34" i="2" s="1"/>
  <c r="C35" i="2"/>
  <c r="L35" i="2" s="1"/>
  <c r="C36" i="2"/>
  <c r="K36" i="2" s="1"/>
  <c r="C37" i="2"/>
  <c r="J37" i="2" s="1"/>
  <c r="C38" i="2"/>
  <c r="I38" i="2" s="1"/>
  <c r="C39" i="2"/>
  <c r="L39" i="2" s="1"/>
  <c r="C40" i="2"/>
  <c r="K40" i="2" s="1"/>
  <c r="C41" i="2"/>
  <c r="J41" i="2" s="1"/>
  <c r="C42" i="2"/>
  <c r="I42" i="2" s="1"/>
  <c r="C43" i="2"/>
  <c r="L43" i="2" s="1"/>
  <c r="C44" i="2"/>
  <c r="K44" i="2" s="1"/>
  <c r="C45" i="2"/>
  <c r="J45" i="2" s="1"/>
  <c r="C46" i="2"/>
  <c r="I46" i="2" s="1"/>
  <c r="C47" i="2"/>
  <c r="L47" i="2" s="1"/>
  <c r="C48" i="2"/>
  <c r="K48" i="2" s="1"/>
  <c r="C49" i="2"/>
  <c r="J49" i="2" s="1"/>
  <c r="C50" i="2"/>
  <c r="I50" i="2" s="1"/>
  <c r="C51" i="2"/>
  <c r="L51" i="2" s="1"/>
  <c r="C52" i="2"/>
  <c r="K52" i="2" s="1"/>
  <c r="C53" i="2"/>
  <c r="J53" i="2" s="1"/>
  <c r="C4" i="2"/>
  <c r="K4" i="2" s="1"/>
  <c r="C5" i="2"/>
  <c r="J5" i="2" s="1"/>
  <c r="C6" i="2"/>
  <c r="I6" i="2" s="1"/>
  <c r="C7" i="2"/>
  <c r="L7" i="2" s="1"/>
  <c r="C8" i="2"/>
  <c r="K8" i="2" s="1"/>
  <c r="C9" i="2"/>
  <c r="J9" i="2" s="1"/>
  <c r="C10" i="2"/>
  <c r="I10" i="2" s="1"/>
  <c r="C11" i="2"/>
  <c r="L11" i="2" s="1"/>
  <c r="C12" i="2"/>
  <c r="K12" i="2" s="1"/>
  <c r="C13" i="2"/>
  <c r="J13" i="2" s="1"/>
  <c r="C14" i="2"/>
  <c r="I14" i="2" s="1"/>
  <c r="C15" i="2"/>
  <c r="L15" i="2" s="1"/>
  <c r="C16" i="2"/>
  <c r="K16" i="2" s="1"/>
  <c r="C17" i="2"/>
  <c r="J17" i="2" s="1"/>
  <c r="C18" i="2"/>
  <c r="I18" i="2" s="1"/>
  <c r="C19" i="2"/>
  <c r="L19" i="2" s="1"/>
  <c r="C20" i="2"/>
  <c r="K20" i="2" s="1"/>
  <c r="C21" i="2"/>
  <c r="J21" i="2" s="1"/>
  <c r="C22" i="2"/>
  <c r="I22" i="2" s="1"/>
  <c r="C23" i="2"/>
  <c r="L23" i="2" s="1"/>
  <c r="C24" i="2"/>
  <c r="K24" i="2" s="1"/>
  <c r="C25" i="2"/>
  <c r="J25" i="2" s="1"/>
  <c r="C26" i="2"/>
  <c r="I26" i="2" s="1"/>
  <c r="C27" i="2"/>
  <c r="L27" i="2" s="1"/>
  <c r="C28" i="2"/>
  <c r="K28" i="2" s="1"/>
  <c r="C3" i="2"/>
  <c r="I3" i="2" s="1"/>
  <c r="H63" i="1"/>
  <c r="E40" i="7" l="1"/>
  <c r="E56" i="7"/>
  <c r="F24" i="7"/>
  <c r="I11" i="7"/>
  <c r="G16" i="7"/>
  <c r="E21" i="7"/>
  <c r="G24" i="7"/>
  <c r="E29" i="7"/>
  <c r="I43" i="7"/>
  <c r="J3" i="7"/>
  <c r="F5" i="7"/>
  <c r="H8" i="7"/>
  <c r="D10" i="7"/>
  <c r="J11" i="7"/>
  <c r="F13" i="7"/>
  <c r="H16" i="7"/>
  <c r="D18" i="7"/>
  <c r="J19" i="7"/>
  <c r="F21" i="7"/>
  <c r="H24" i="7"/>
  <c r="D26" i="7"/>
  <c r="J27" i="7"/>
  <c r="F29" i="7"/>
  <c r="H32" i="7"/>
  <c r="D34" i="7"/>
  <c r="J35" i="7"/>
  <c r="F37" i="7"/>
  <c r="H40" i="7"/>
  <c r="D42" i="7"/>
  <c r="J43" i="7"/>
  <c r="F45" i="7"/>
  <c r="H48" i="7"/>
  <c r="D50" i="7"/>
  <c r="J51" i="7"/>
  <c r="F53" i="7"/>
  <c r="H56" i="7"/>
  <c r="D58" i="7"/>
  <c r="J59" i="7"/>
  <c r="F61" i="7"/>
  <c r="D56" i="7"/>
  <c r="F8" i="7"/>
  <c r="D13" i="7"/>
  <c r="F32" i="7"/>
  <c r="D53" i="7"/>
  <c r="E5" i="7"/>
  <c r="E13" i="7"/>
  <c r="I27" i="7"/>
  <c r="G32" i="7"/>
  <c r="E37" i="7"/>
  <c r="E45" i="7"/>
  <c r="G48" i="7"/>
  <c r="I51" i="7"/>
  <c r="E53" i="7"/>
  <c r="G56" i="7"/>
  <c r="I59" i="7"/>
  <c r="K3" i="7"/>
  <c r="G5" i="7"/>
  <c r="I8" i="7"/>
  <c r="E10" i="7"/>
  <c r="K11" i="7"/>
  <c r="G13" i="7"/>
  <c r="I16" i="7"/>
  <c r="E18" i="7"/>
  <c r="K19" i="7"/>
  <c r="G21" i="7"/>
  <c r="I24" i="7"/>
  <c r="E26" i="7"/>
  <c r="K27" i="7"/>
  <c r="G29" i="7"/>
  <c r="I32" i="7"/>
  <c r="E34" i="7"/>
  <c r="K35" i="7"/>
  <c r="G37" i="7"/>
  <c r="I40" i="7"/>
  <c r="E42" i="7"/>
  <c r="K43" i="7"/>
  <c r="G45" i="7"/>
  <c r="I48" i="7"/>
  <c r="E50" i="7"/>
  <c r="K51" i="7"/>
  <c r="G53" i="7"/>
  <c r="I56" i="7"/>
  <c r="E58" i="7"/>
  <c r="K59" i="7"/>
  <c r="G61" i="7"/>
  <c r="D5" i="7"/>
  <c r="F16" i="7"/>
  <c r="D37" i="7"/>
  <c r="F48" i="7"/>
  <c r="F56" i="7"/>
  <c r="I3" i="7"/>
  <c r="G8" i="7"/>
  <c r="I19" i="7"/>
  <c r="I35" i="7"/>
  <c r="G40" i="7"/>
  <c r="E61" i="7"/>
  <c r="L3" i="7"/>
  <c r="H5" i="7"/>
  <c r="D7" i="7"/>
  <c r="J8" i="7"/>
  <c r="F10" i="7"/>
  <c r="L11" i="7"/>
  <c r="H13" i="7"/>
  <c r="D15" i="7"/>
  <c r="J16" i="7"/>
  <c r="F18" i="7"/>
  <c r="L19" i="7"/>
  <c r="H21" i="7"/>
  <c r="D23" i="7"/>
  <c r="J24" i="7"/>
  <c r="F26" i="7"/>
  <c r="L27" i="7"/>
  <c r="H29" i="7"/>
  <c r="D31" i="7"/>
  <c r="J32" i="7"/>
  <c r="F34" i="7"/>
  <c r="L35" i="7"/>
  <c r="H37" i="7"/>
  <c r="D39" i="7"/>
  <c r="J40" i="7"/>
  <c r="F42" i="7"/>
  <c r="L43" i="7"/>
  <c r="H45" i="7"/>
  <c r="D47" i="7"/>
  <c r="J48" i="7"/>
  <c r="F50" i="7"/>
  <c r="L51" i="7"/>
  <c r="H53" i="7"/>
  <c r="D55" i="7"/>
  <c r="J56" i="7"/>
  <c r="F58" i="7"/>
  <c r="L59" i="7"/>
  <c r="H61" i="7"/>
  <c r="D63" i="7"/>
  <c r="I21" i="7"/>
  <c r="D48" i="7"/>
  <c r="D21" i="7"/>
  <c r="I5" i="7"/>
  <c r="G10" i="7"/>
  <c r="I13" i="7"/>
  <c r="K16" i="7"/>
  <c r="G18" i="7"/>
  <c r="G26" i="7"/>
  <c r="G34" i="7"/>
  <c r="I37" i="7"/>
  <c r="K40" i="7"/>
  <c r="I45" i="7"/>
  <c r="K48" i="7"/>
  <c r="G50" i="7"/>
  <c r="I53" i="7"/>
  <c r="K56" i="7"/>
  <c r="I61" i="7"/>
  <c r="D4" i="7"/>
  <c r="J5" i="7"/>
  <c r="L8" i="7"/>
  <c r="H10" i="7"/>
  <c r="D12" i="7"/>
  <c r="J13" i="7"/>
  <c r="L16" i="7"/>
  <c r="H18" i="7"/>
  <c r="D20" i="7"/>
  <c r="J21" i="7"/>
  <c r="L24" i="7"/>
  <c r="H26" i="7"/>
  <c r="D28" i="7"/>
  <c r="J29" i="7"/>
  <c r="L32" i="7"/>
  <c r="H34" i="7"/>
  <c r="D36" i="7"/>
  <c r="J37" i="7"/>
  <c r="L40" i="7"/>
  <c r="H42" i="7"/>
  <c r="D44" i="7"/>
  <c r="J45" i="7"/>
  <c r="L48" i="7"/>
  <c r="H50" i="7"/>
  <c r="D52" i="7"/>
  <c r="J53" i="7"/>
  <c r="H58" i="7"/>
  <c r="D60" i="7"/>
  <c r="J61" i="7"/>
  <c r="D8" i="7"/>
  <c r="D40" i="7"/>
  <c r="E8" i="7"/>
  <c r="E16" i="7"/>
  <c r="E24" i="7"/>
  <c r="D29" i="7"/>
  <c r="D45" i="7"/>
  <c r="D61" i="7"/>
  <c r="K24" i="7"/>
  <c r="I29" i="7"/>
  <c r="K32" i="7"/>
  <c r="G42" i="7"/>
  <c r="E4" i="7"/>
  <c r="K5" i="7"/>
  <c r="G7" i="7"/>
  <c r="I10" i="7"/>
  <c r="E12" i="7"/>
  <c r="K13" i="7"/>
  <c r="G15" i="7"/>
  <c r="I18" i="7"/>
  <c r="E20" i="7"/>
  <c r="K21" i="7"/>
  <c r="G23" i="7"/>
  <c r="I26" i="7"/>
  <c r="E28" i="7"/>
  <c r="K29" i="7"/>
  <c r="G31" i="7"/>
  <c r="I34" i="7"/>
  <c r="E36" i="7"/>
  <c r="K37" i="7"/>
  <c r="G39" i="7"/>
  <c r="I42" i="7"/>
  <c r="E44" i="7"/>
  <c r="K45" i="7"/>
  <c r="G47" i="7"/>
  <c r="I50" i="7"/>
  <c r="E52" i="7"/>
  <c r="K53" i="7"/>
  <c r="G55" i="7"/>
  <c r="I58" i="7"/>
  <c r="E60" i="7"/>
  <c r="K61" i="7"/>
  <c r="G63" i="7"/>
  <c r="D32" i="7"/>
  <c r="G4" i="7"/>
  <c r="I7" i="7"/>
  <c r="E9" i="7"/>
  <c r="G12" i="7"/>
  <c r="I15" i="7"/>
  <c r="E17" i="7"/>
  <c r="G20" i="7"/>
  <c r="I23" i="7"/>
  <c r="E25" i="7"/>
  <c r="G28" i="7"/>
  <c r="I31" i="7"/>
  <c r="E33" i="7"/>
  <c r="G36" i="7"/>
  <c r="I39" i="7"/>
  <c r="E41" i="7"/>
  <c r="G44" i="7"/>
  <c r="I47" i="7"/>
  <c r="E49" i="7"/>
  <c r="G52" i="7"/>
  <c r="I55" i="7"/>
  <c r="E57" i="7"/>
  <c r="G60" i="7"/>
  <c r="I63" i="7"/>
  <c r="L3" i="6"/>
  <c r="L19" i="6"/>
  <c r="L35" i="6"/>
  <c r="L51" i="6"/>
  <c r="K24" i="6"/>
  <c r="K32" i="6"/>
  <c r="D4" i="6"/>
  <c r="D12" i="6"/>
  <c r="L32" i="6"/>
  <c r="D36" i="6"/>
  <c r="J37" i="6"/>
  <c r="L40" i="6"/>
  <c r="D44" i="6"/>
  <c r="L48" i="6"/>
  <c r="J53" i="6"/>
  <c r="G4" i="6"/>
  <c r="G12" i="6"/>
  <c r="G20" i="6"/>
  <c r="G28" i="6"/>
  <c r="K34" i="6"/>
  <c r="G36" i="6"/>
  <c r="K42" i="6"/>
  <c r="G44" i="6"/>
  <c r="K50" i="6"/>
  <c r="G52" i="6"/>
  <c r="D27" i="6"/>
  <c r="E19" i="6"/>
  <c r="E43" i="6"/>
  <c r="L4" i="6"/>
  <c r="D8" i="6"/>
  <c r="L12" i="6"/>
  <c r="F19" i="6"/>
  <c r="D32" i="6"/>
  <c r="F35" i="6"/>
  <c r="D40" i="6"/>
  <c r="E16" i="6"/>
  <c r="E24" i="6"/>
  <c r="E32" i="6"/>
  <c r="H3" i="6"/>
  <c r="D5" i="6"/>
  <c r="J6" i="6"/>
  <c r="F8" i="6"/>
  <c r="H11" i="6"/>
  <c r="D13" i="6"/>
  <c r="J14" i="6"/>
  <c r="F16" i="6"/>
  <c r="H19" i="6"/>
  <c r="D21" i="6"/>
  <c r="J22" i="6"/>
  <c r="F24" i="6"/>
  <c r="H27" i="6"/>
  <c r="D29" i="6"/>
  <c r="J30" i="6"/>
  <c r="F32" i="6"/>
  <c r="H35" i="6"/>
  <c r="D37" i="6"/>
  <c r="J38" i="6"/>
  <c r="F40" i="6"/>
  <c r="H43" i="6"/>
  <c r="D45" i="6"/>
  <c r="J46" i="6"/>
  <c r="F48" i="6"/>
  <c r="H51" i="6"/>
  <c r="D53" i="6"/>
  <c r="D11" i="6"/>
  <c r="D35" i="6"/>
  <c r="D51" i="6"/>
  <c r="E51" i="6"/>
  <c r="D24" i="6"/>
  <c r="F43" i="6"/>
  <c r="L52" i="6"/>
  <c r="G11" i="6"/>
  <c r="G35" i="6"/>
  <c r="G51" i="6"/>
  <c r="I3" i="6"/>
  <c r="E5" i="6"/>
  <c r="K6" i="6"/>
  <c r="G8" i="6"/>
  <c r="I11" i="6"/>
  <c r="E13" i="6"/>
  <c r="K14" i="6"/>
  <c r="G16" i="6"/>
  <c r="I19" i="6"/>
  <c r="E21" i="6"/>
  <c r="K22" i="6"/>
  <c r="G24" i="6"/>
  <c r="I27" i="6"/>
  <c r="E29" i="6"/>
  <c r="K30" i="6"/>
  <c r="G32" i="6"/>
  <c r="I35" i="6"/>
  <c r="E37" i="6"/>
  <c r="G40" i="6"/>
  <c r="I43" i="6"/>
  <c r="E45" i="6"/>
  <c r="G48" i="6"/>
  <c r="I51" i="6"/>
  <c r="E53" i="6"/>
  <c r="D19" i="6"/>
  <c r="D43" i="6"/>
  <c r="E3" i="6"/>
  <c r="E11" i="6"/>
  <c r="E27" i="6"/>
  <c r="E35" i="6"/>
  <c r="F3" i="6"/>
  <c r="F11" i="6"/>
  <c r="D16" i="6"/>
  <c r="L28" i="6"/>
  <c r="L36" i="6"/>
  <c r="L44" i="6"/>
  <c r="F51" i="6"/>
  <c r="G19" i="6"/>
  <c r="G27" i="6"/>
  <c r="J3" i="6"/>
  <c r="F5" i="6"/>
  <c r="H8" i="6"/>
  <c r="D10" i="6"/>
  <c r="J11" i="6"/>
  <c r="F13" i="6"/>
  <c r="H16" i="6"/>
  <c r="D18" i="6"/>
  <c r="J19" i="6"/>
  <c r="F21" i="6"/>
  <c r="H24" i="6"/>
  <c r="D26" i="6"/>
  <c r="J27" i="6"/>
  <c r="F29" i="6"/>
  <c r="H32" i="6"/>
  <c r="D34" i="6"/>
  <c r="J35" i="6"/>
  <c r="F37" i="6"/>
  <c r="H40" i="6"/>
  <c r="D42" i="6"/>
  <c r="J43" i="6"/>
  <c r="F45" i="6"/>
  <c r="H48" i="6"/>
  <c r="D50" i="6"/>
  <c r="J51" i="6"/>
  <c r="F53" i="6"/>
  <c r="D3" i="6"/>
  <c r="L20" i="6"/>
  <c r="F27" i="6"/>
  <c r="D48" i="6"/>
  <c r="G3" i="6"/>
  <c r="E8" i="6"/>
  <c r="E40" i="6"/>
  <c r="G43" i="6"/>
  <c r="E48" i="6"/>
  <c r="G5" i="6"/>
  <c r="I8" i="6"/>
  <c r="E10" i="6"/>
  <c r="K11" i="6"/>
  <c r="G13" i="6"/>
  <c r="I16" i="6"/>
  <c r="E18" i="6"/>
  <c r="G21" i="6"/>
  <c r="I24" i="6"/>
  <c r="E26" i="6"/>
  <c r="K27" i="6"/>
  <c r="G29" i="6"/>
  <c r="E34" i="6"/>
  <c r="G37" i="6"/>
  <c r="I40" i="6"/>
  <c r="E42" i="6"/>
  <c r="K43" i="6"/>
  <c r="G45" i="6"/>
  <c r="I48" i="6"/>
  <c r="E50" i="6"/>
  <c r="G53" i="6"/>
  <c r="K8" i="6"/>
  <c r="K16" i="6"/>
  <c r="D20" i="6"/>
  <c r="D28" i="6"/>
  <c r="D52" i="6"/>
  <c r="E4" i="6"/>
  <c r="K5" i="6"/>
  <c r="G7" i="6"/>
  <c r="I10" i="6"/>
  <c r="E12" i="6"/>
  <c r="K13" i="6"/>
  <c r="G15" i="6"/>
  <c r="I18" i="6"/>
  <c r="E20" i="6"/>
  <c r="K21" i="6"/>
  <c r="G23" i="6"/>
  <c r="I26" i="6"/>
  <c r="E28" i="6"/>
  <c r="K29" i="6"/>
  <c r="G31" i="6"/>
  <c r="I34" i="6"/>
  <c r="E36" i="6"/>
  <c r="K37" i="6"/>
  <c r="G39" i="6"/>
  <c r="I42" i="6"/>
  <c r="E44" i="6"/>
  <c r="K45" i="6"/>
  <c r="G47" i="6"/>
  <c r="I50" i="6"/>
  <c r="E52" i="6"/>
  <c r="K53" i="6"/>
  <c r="K20" i="5"/>
  <c r="K190" i="5"/>
  <c r="E48" i="5"/>
  <c r="H200" i="5"/>
  <c r="G200" i="5"/>
  <c r="D200" i="5"/>
  <c r="F48" i="5"/>
  <c r="F65" i="5"/>
  <c r="G113" i="5"/>
  <c r="H146" i="5"/>
  <c r="J21" i="5"/>
  <c r="I33" i="5"/>
  <c r="D40" i="5"/>
  <c r="L40" i="5"/>
  <c r="K40" i="5"/>
  <c r="K48" i="5"/>
  <c r="D86" i="5"/>
  <c r="I86" i="5"/>
  <c r="H86" i="5"/>
  <c r="G86" i="5"/>
  <c r="F86" i="5"/>
  <c r="I113" i="5"/>
  <c r="I146" i="5"/>
  <c r="L154" i="5"/>
  <c r="I154" i="5"/>
  <c r="G154" i="5"/>
  <c r="E154" i="5"/>
  <c r="D154" i="5"/>
  <c r="E174" i="5"/>
  <c r="D182" i="5"/>
  <c r="K192" i="5"/>
  <c r="F192" i="5"/>
  <c r="J33" i="5"/>
  <c r="I40" i="5"/>
  <c r="E60" i="5"/>
  <c r="I66" i="5"/>
  <c r="J86" i="5"/>
  <c r="G93" i="5"/>
  <c r="G103" i="5"/>
  <c r="J113" i="5"/>
  <c r="D138" i="5"/>
  <c r="K146" i="5"/>
  <c r="G174" i="5"/>
  <c r="E182" i="5"/>
  <c r="D192" i="5"/>
  <c r="E209" i="5"/>
  <c r="J12" i="5"/>
  <c r="K33" i="5"/>
  <c r="J40" i="5"/>
  <c r="F60" i="5"/>
  <c r="J66" i="5"/>
  <c r="K86" i="5"/>
  <c r="I93" i="5"/>
  <c r="J104" i="5"/>
  <c r="H104" i="5"/>
  <c r="K113" i="5"/>
  <c r="J131" i="5"/>
  <c r="E138" i="5"/>
  <c r="L146" i="5"/>
  <c r="E165" i="5"/>
  <c r="H174" i="5"/>
  <c r="F182" i="5"/>
  <c r="E192" i="5"/>
  <c r="F209" i="5"/>
  <c r="I21" i="5"/>
  <c r="D48" i="5"/>
  <c r="J48" i="5"/>
  <c r="I48" i="5"/>
  <c r="H48" i="5"/>
  <c r="G48" i="5"/>
  <c r="L190" i="5"/>
  <c r="L33" i="5"/>
  <c r="H77" i="5"/>
  <c r="K77" i="5"/>
  <c r="J77" i="5"/>
  <c r="L113" i="5"/>
  <c r="H147" i="5"/>
  <c r="I147" i="5"/>
  <c r="F147" i="5"/>
  <c r="K34" i="5"/>
  <c r="F34" i="5"/>
  <c r="H60" i="5"/>
  <c r="K132" i="5"/>
  <c r="I209" i="5"/>
  <c r="D158" i="5"/>
  <c r="J209" i="5"/>
  <c r="K14" i="5"/>
  <c r="J43" i="5"/>
  <c r="E94" i="5"/>
  <c r="D139" i="5"/>
  <c r="F158" i="5"/>
  <c r="J175" i="5"/>
  <c r="K209" i="5"/>
  <c r="L50" i="5"/>
  <c r="K93" i="5"/>
  <c r="D147" i="5"/>
  <c r="K43" i="5"/>
  <c r="J62" i="5"/>
  <c r="F94" i="5"/>
  <c r="G158" i="5"/>
  <c r="L210" i="5"/>
  <c r="G210" i="5"/>
  <c r="F127" i="5"/>
  <c r="I127" i="5"/>
  <c r="L132" i="5"/>
  <c r="F139" i="5"/>
  <c r="J139" i="5"/>
  <c r="I139" i="5"/>
  <c r="H139" i="5"/>
  <c r="I175" i="5"/>
  <c r="E184" i="5"/>
  <c r="K4" i="5"/>
  <c r="L43" i="5"/>
  <c r="K95" i="5"/>
  <c r="I95" i="5"/>
  <c r="G95" i="5"/>
  <c r="F95" i="5"/>
  <c r="J168" i="5"/>
  <c r="H168" i="5"/>
  <c r="G168" i="5"/>
  <c r="F168" i="5"/>
  <c r="D90" i="5"/>
  <c r="L90" i="5"/>
  <c r="G83" i="5"/>
  <c r="F38" i="5"/>
  <c r="L5" i="5"/>
  <c r="J5" i="5"/>
  <c r="J160" i="5"/>
  <c r="L160" i="5"/>
  <c r="K30" i="5"/>
  <c r="L55" i="5"/>
  <c r="J55" i="5"/>
  <c r="I55" i="5"/>
  <c r="H55" i="5"/>
  <c r="G55" i="5"/>
  <c r="D205" i="5"/>
  <c r="G205" i="5"/>
  <c r="E205" i="5"/>
  <c r="G114" i="5"/>
  <c r="G124" i="5"/>
  <c r="F137" i="5"/>
  <c r="E185" i="5"/>
  <c r="J17" i="5"/>
  <c r="H124" i="5"/>
  <c r="G137" i="5"/>
  <c r="F161" i="5"/>
  <c r="G185" i="5"/>
  <c r="H211" i="5"/>
  <c r="K17" i="5"/>
  <c r="G64" i="5"/>
  <c r="F71" i="5"/>
  <c r="D92" i="5"/>
  <c r="I124" i="5"/>
  <c r="H137" i="5"/>
  <c r="J148" i="5"/>
  <c r="G161" i="5"/>
  <c r="L185" i="5"/>
  <c r="E193" i="5"/>
  <c r="J206" i="5"/>
  <c r="I211" i="5"/>
  <c r="L7" i="5"/>
  <c r="L17" i="5"/>
  <c r="J28" i="5"/>
  <c r="I36" i="5"/>
  <c r="L41" i="5"/>
  <c r="H64" i="5"/>
  <c r="I71" i="5"/>
  <c r="E92" i="5"/>
  <c r="E115" i="5"/>
  <c r="I137" i="5"/>
  <c r="K148" i="5"/>
  <c r="E179" i="5"/>
  <c r="K193" i="5"/>
  <c r="F201" i="5"/>
  <c r="K101" i="5"/>
  <c r="I45" i="5"/>
  <c r="L75" i="5"/>
  <c r="F81" i="5"/>
  <c r="D84" i="5"/>
  <c r="D123" i="5"/>
  <c r="E157" i="5"/>
  <c r="G170" i="5"/>
  <c r="H177" i="5"/>
  <c r="D181" i="5"/>
  <c r="I184" i="5"/>
  <c r="G188" i="5"/>
  <c r="D203" i="5"/>
  <c r="E6" i="5"/>
  <c r="E9" i="5"/>
  <c r="D13" i="5"/>
  <c r="E15" i="5"/>
  <c r="E22" i="5"/>
  <c r="E25" i="5"/>
  <c r="D29" i="5"/>
  <c r="E31" i="5"/>
  <c r="J45" i="5"/>
  <c r="I52" i="5"/>
  <c r="F58" i="5"/>
  <c r="G81" i="5"/>
  <c r="E84" i="5"/>
  <c r="H97" i="5"/>
  <c r="K106" i="5"/>
  <c r="K111" i="5"/>
  <c r="D118" i="5"/>
  <c r="E123" i="5"/>
  <c r="I153" i="5"/>
  <c r="F157" i="5"/>
  <c r="H170" i="5"/>
  <c r="I177" i="5"/>
  <c r="E181" i="5"/>
  <c r="H188" i="5"/>
  <c r="E191" i="5"/>
  <c r="E203" i="5"/>
  <c r="D206" i="5"/>
  <c r="D212" i="5"/>
  <c r="F6" i="5"/>
  <c r="F9" i="5"/>
  <c r="E13" i="5"/>
  <c r="F15" i="5"/>
  <c r="F18" i="5"/>
  <c r="F22" i="5"/>
  <c r="F25" i="5"/>
  <c r="E29" i="5"/>
  <c r="F31" i="5"/>
  <c r="E38" i="5"/>
  <c r="J52" i="5"/>
  <c r="G58" i="5"/>
  <c r="J81" i="5"/>
  <c r="G84" i="5"/>
  <c r="K90" i="5"/>
  <c r="I97" i="5"/>
  <c r="E103" i="5"/>
  <c r="L106" i="5"/>
  <c r="L111" i="5"/>
  <c r="E118" i="5"/>
  <c r="F123" i="5"/>
  <c r="J134" i="5"/>
  <c r="D149" i="5"/>
  <c r="J153" i="5"/>
  <c r="G157" i="5"/>
  <c r="K170" i="5"/>
  <c r="J177" i="5"/>
  <c r="F181" i="5"/>
  <c r="I188" i="5"/>
  <c r="F191" i="5"/>
  <c r="E201" i="5"/>
  <c r="F203" i="5"/>
  <c r="E206" i="5"/>
  <c r="E212" i="5"/>
  <c r="H84" i="5"/>
  <c r="E170" i="5"/>
  <c r="I106" i="5"/>
  <c r="G9" i="5"/>
  <c r="F29" i="5"/>
  <c r="H58" i="5"/>
  <c r="K153" i="5"/>
  <c r="K177" i="5"/>
  <c r="G191" i="5"/>
  <c r="G203" i="5"/>
  <c r="G212" i="5"/>
  <c r="H6" i="5"/>
  <c r="G13" i="5"/>
  <c r="J15" i="5"/>
  <c r="H22" i="5"/>
  <c r="G29" i="5"/>
  <c r="J31" i="5"/>
  <c r="D47" i="5"/>
  <c r="E56" i="5"/>
  <c r="D62" i="5"/>
  <c r="E69" i="5"/>
  <c r="D112" i="5"/>
  <c r="G118" i="5"/>
  <c r="I141" i="5"/>
  <c r="F149" i="5"/>
  <c r="J157" i="5"/>
  <c r="K167" i="5"/>
  <c r="J181" i="5"/>
  <c r="K188" i="5"/>
  <c r="I203" i="5"/>
  <c r="H212" i="5"/>
  <c r="I4" i="5"/>
  <c r="J6" i="5"/>
  <c r="I9" i="5"/>
  <c r="H13" i="5"/>
  <c r="K15" i="5"/>
  <c r="I20" i="5"/>
  <c r="J22" i="5"/>
  <c r="I25" i="5"/>
  <c r="H29" i="5"/>
  <c r="K31" i="5"/>
  <c r="J38" i="5"/>
  <c r="E47" i="5"/>
  <c r="E54" i="5"/>
  <c r="F56" i="5"/>
  <c r="J58" i="5"/>
  <c r="E62" i="5"/>
  <c r="D65" i="5"/>
  <c r="F69" i="5"/>
  <c r="G72" i="5"/>
  <c r="L77" i="5"/>
  <c r="E82" i="5"/>
  <c r="J84" i="5"/>
  <c r="L97" i="5"/>
  <c r="E107" i="5"/>
  <c r="E112" i="5"/>
  <c r="K118" i="5"/>
  <c r="K123" i="5"/>
  <c r="G126" i="5"/>
  <c r="E131" i="5"/>
  <c r="F135" i="5"/>
  <c r="K141" i="5"/>
  <c r="G147" i="5"/>
  <c r="K157" i="5"/>
  <c r="J161" i="5"/>
  <c r="E171" i="5"/>
  <c r="K175" i="5"/>
  <c r="K181" i="5"/>
  <c r="H185" i="5"/>
  <c r="L188" i="5"/>
  <c r="K198" i="5"/>
  <c r="H201" i="5"/>
  <c r="J203" i="5"/>
  <c r="L206" i="5"/>
  <c r="D210" i="5"/>
  <c r="I212" i="5"/>
  <c r="G97" i="5"/>
  <c r="F13" i="5"/>
  <c r="G25" i="5"/>
  <c r="I31" i="5"/>
  <c r="J97" i="5"/>
  <c r="H123" i="5"/>
  <c r="J188" i="5"/>
  <c r="H9" i="5"/>
  <c r="H25" i="5"/>
  <c r="I38" i="5"/>
  <c r="I58" i="5"/>
  <c r="I84" i="5"/>
  <c r="K97" i="5"/>
  <c r="D107" i="5"/>
  <c r="L153" i="5"/>
  <c r="D171" i="5"/>
  <c r="L177" i="5"/>
  <c r="J4" i="5"/>
  <c r="K6" i="5"/>
  <c r="J9" i="5"/>
  <c r="I13" i="5"/>
  <c r="L15" i="5"/>
  <c r="J20" i="5"/>
  <c r="K22" i="5"/>
  <c r="J25" i="5"/>
  <c r="I29" i="5"/>
  <c r="L31" i="5"/>
  <c r="L38" i="5"/>
  <c r="F47" i="5"/>
  <c r="F54" i="5"/>
  <c r="G56" i="5"/>
  <c r="K58" i="5"/>
  <c r="I62" i="5"/>
  <c r="E65" i="5"/>
  <c r="G69" i="5"/>
  <c r="H72" i="5"/>
  <c r="G82" i="5"/>
  <c r="K84" i="5"/>
  <c r="F107" i="5"/>
  <c r="F112" i="5"/>
  <c r="L118" i="5"/>
  <c r="H126" i="5"/>
  <c r="G135" i="5"/>
  <c r="F171" i="5"/>
  <c r="I201" i="5"/>
  <c r="E210" i="5"/>
  <c r="J212" i="5"/>
  <c r="E58" i="5"/>
  <c r="D15" i="5"/>
  <c r="G47" i="5"/>
  <c r="I56" i="5"/>
  <c r="H210" i="5"/>
  <c r="D5" i="5"/>
  <c r="E7" i="5"/>
  <c r="E14" i="5"/>
  <c r="E17" i="5"/>
  <c r="D21" i="5"/>
  <c r="E23" i="5"/>
  <c r="E30" i="5"/>
  <c r="I47" i="5"/>
  <c r="E50" i="5"/>
  <c r="K54" i="5"/>
  <c r="J56" i="5"/>
  <c r="H59" i="5"/>
  <c r="L69" i="5"/>
  <c r="K72" i="5"/>
  <c r="K82" i="5"/>
  <c r="E85" i="5"/>
  <c r="I88" i="5"/>
  <c r="J99" i="5"/>
  <c r="K112" i="5"/>
  <c r="E120" i="5"/>
  <c r="K126" i="5"/>
  <c r="D132" i="5"/>
  <c r="K135" i="5"/>
  <c r="D148" i="5"/>
  <c r="F176" i="5"/>
  <c r="I186" i="5"/>
  <c r="F190" i="5"/>
  <c r="L201" i="5"/>
  <c r="I210" i="5"/>
  <c r="D58" i="5"/>
  <c r="F97" i="5"/>
  <c r="G6" i="5"/>
  <c r="G107" i="5"/>
  <c r="G171" i="5"/>
  <c r="L25" i="5"/>
  <c r="F39" i="5"/>
  <c r="J54" i="5"/>
  <c r="K69" i="5"/>
  <c r="I82" i="5"/>
  <c r="I99" i="5"/>
  <c r="K107" i="5"/>
  <c r="E5" i="5"/>
  <c r="F7" i="5"/>
  <c r="F10" i="5"/>
  <c r="F14" i="5"/>
  <c r="F17" i="5"/>
  <c r="E21" i="5"/>
  <c r="F23" i="5"/>
  <c r="F26" i="5"/>
  <c r="F30" i="5"/>
  <c r="E33" i="5"/>
  <c r="D37" i="5"/>
  <c r="E40" i="5"/>
  <c r="E44" i="5"/>
  <c r="J47" i="5"/>
  <c r="F50" i="5"/>
  <c r="K56" i="5"/>
  <c r="I59" i="5"/>
  <c r="F63" i="5"/>
  <c r="D66" i="5"/>
  <c r="L72" i="5"/>
  <c r="F85" i="5"/>
  <c r="K88" i="5"/>
  <c r="J95" i="5"/>
  <c r="K99" i="5"/>
  <c r="I104" i="5"/>
  <c r="L108" i="5"/>
  <c r="L112" i="5"/>
  <c r="I115" i="5"/>
  <c r="I120" i="5"/>
  <c r="J124" i="5"/>
  <c r="L126" i="5"/>
  <c r="E132" i="5"/>
  <c r="L135" i="5"/>
  <c r="E148" i="5"/>
  <c r="I150" i="5"/>
  <c r="K154" i="5"/>
  <c r="D164" i="5"/>
  <c r="I168" i="5"/>
  <c r="J172" i="5"/>
  <c r="H176" i="5"/>
  <c r="H179" i="5"/>
  <c r="G182" i="5"/>
  <c r="G190" i="5"/>
  <c r="J199" i="5"/>
  <c r="K204" i="5"/>
  <c r="H208" i="5"/>
  <c r="K210" i="5"/>
  <c r="D213" i="5"/>
  <c r="E81" i="5"/>
  <c r="D31" i="5"/>
  <c r="L84" i="5"/>
  <c r="H47" i="5"/>
  <c r="I112" i="5"/>
  <c r="E176" i="5"/>
  <c r="E190" i="5"/>
  <c r="K201" i="5"/>
  <c r="F5" i="5"/>
  <c r="I7" i="5"/>
  <c r="G14" i="5"/>
  <c r="G17" i="5"/>
  <c r="F21" i="5"/>
  <c r="I23" i="5"/>
  <c r="G30" i="5"/>
  <c r="F33" i="5"/>
  <c r="E37" i="5"/>
  <c r="F40" i="5"/>
  <c r="F44" i="5"/>
  <c r="K47" i="5"/>
  <c r="I50" i="5"/>
  <c r="L56" i="5"/>
  <c r="E66" i="5"/>
  <c r="K79" i="5"/>
  <c r="L95" i="5"/>
  <c r="K104" i="5"/>
  <c r="J115" i="5"/>
  <c r="K120" i="5"/>
  <c r="K124" i="5"/>
  <c r="G132" i="5"/>
  <c r="G148" i="5"/>
  <c r="J150" i="5"/>
  <c r="I164" i="5"/>
  <c r="K168" i="5"/>
  <c r="L172" i="5"/>
  <c r="I176" i="5"/>
  <c r="I179" i="5"/>
  <c r="K182" i="5"/>
  <c r="H190" i="5"/>
  <c r="K199" i="5"/>
  <c r="L204" i="5"/>
  <c r="I208" i="5"/>
  <c r="E213" i="5"/>
  <c r="I111" i="5"/>
  <c r="I15" i="5"/>
  <c r="K25" i="5"/>
  <c r="H56" i="5"/>
  <c r="D7" i="5"/>
  <c r="D23" i="5"/>
  <c r="G5" i="5"/>
  <c r="J7" i="5"/>
  <c r="H14" i="5"/>
  <c r="H17" i="5"/>
  <c r="G21" i="5"/>
  <c r="J23" i="5"/>
  <c r="H30" i="5"/>
  <c r="G33" i="5"/>
  <c r="F37" i="5"/>
  <c r="G40" i="5"/>
  <c r="I44" i="5"/>
  <c r="J50" i="5"/>
  <c r="D55" i="5"/>
  <c r="E64" i="5"/>
  <c r="F66" i="5"/>
  <c r="D71" i="5"/>
  <c r="L73" i="5"/>
  <c r="L79" i="5"/>
  <c r="E83" i="5"/>
  <c r="E89" i="5"/>
  <c r="E93" i="5"/>
  <c r="I100" i="5"/>
  <c r="L104" i="5"/>
  <c r="K115" i="5"/>
  <c r="L124" i="5"/>
  <c r="E127" i="5"/>
  <c r="H132" i="5"/>
  <c r="E139" i="5"/>
  <c r="E146" i="5"/>
  <c r="H148" i="5"/>
  <c r="L150" i="5"/>
  <c r="L168" i="5"/>
  <c r="K176" i="5"/>
  <c r="J179" i="5"/>
  <c r="L182" i="5"/>
  <c r="E187" i="5"/>
  <c r="I190" i="5"/>
  <c r="F193" i="5"/>
  <c r="E202" i="5"/>
  <c r="F213" i="5"/>
  <c r="H45" i="5"/>
  <c r="K75" i="5"/>
  <c r="F152" i="5"/>
  <c r="G177" i="5"/>
  <c r="G22" i="5"/>
  <c r="F118" i="5"/>
  <c r="K9" i="5"/>
  <c r="J13" i="5"/>
  <c r="J29" i="5"/>
  <c r="J69" i="5"/>
  <c r="K212" i="5"/>
  <c r="L9" i="5"/>
  <c r="D50" i="5"/>
  <c r="H88" i="5"/>
  <c r="K171" i="5"/>
  <c r="L212" i="5"/>
  <c r="H5" i="5"/>
  <c r="K7" i="5"/>
  <c r="I12" i="5"/>
  <c r="J14" i="5"/>
  <c r="I17" i="5"/>
  <c r="H21" i="5"/>
  <c r="K23" i="5"/>
  <c r="I28" i="5"/>
  <c r="J30" i="5"/>
  <c r="H33" i="5"/>
  <c r="G37" i="5"/>
  <c r="H40" i="5"/>
  <c r="K50" i="5"/>
  <c r="E55" i="5"/>
  <c r="F57" i="5"/>
  <c r="D60" i="5"/>
  <c r="F64" i="5"/>
  <c r="G66" i="5"/>
  <c r="E71" i="5"/>
  <c r="E86" i="5"/>
  <c r="F96" i="5"/>
  <c r="F110" i="5"/>
  <c r="H113" i="5"/>
  <c r="E137" i="5"/>
  <c r="I148" i="5"/>
  <c r="K155" i="5"/>
  <c r="D160" i="5"/>
  <c r="K179" i="5"/>
  <c r="J190" i="5"/>
  <c r="G193" i="5"/>
  <c r="D3" i="5"/>
  <c r="J8" i="5"/>
  <c r="K8" i="5"/>
  <c r="L8" i="5"/>
  <c r="I8" i="5"/>
  <c r="G8" i="5"/>
  <c r="H8" i="5"/>
  <c r="F8" i="5"/>
  <c r="E8" i="5"/>
  <c r="D8" i="5"/>
  <c r="L53" i="5"/>
  <c r="J53" i="5"/>
  <c r="I53" i="5"/>
  <c r="G53" i="5"/>
  <c r="H53" i="5"/>
  <c r="F53" i="5"/>
  <c r="E53" i="5"/>
  <c r="D53" i="5"/>
  <c r="K53" i="5"/>
  <c r="J130" i="5"/>
  <c r="F130" i="5"/>
  <c r="K130" i="5"/>
  <c r="L130" i="5"/>
  <c r="I130" i="5"/>
  <c r="H130" i="5"/>
  <c r="E130" i="5"/>
  <c r="G130" i="5"/>
  <c r="J49" i="5"/>
  <c r="I49" i="5"/>
  <c r="L49" i="5"/>
  <c r="K49" i="5"/>
  <c r="H49" i="5"/>
  <c r="G49" i="5"/>
  <c r="F49" i="5"/>
  <c r="E3" i="5"/>
  <c r="E49" i="5"/>
  <c r="F196" i="5"/>
  <c r="J196" i="5"/>
  <c r="I196" i="5"/>
  <c r="E196" i="5"/>
  <c r="L196" i="5"/>
  <c r="K196" i="5"/>
  <c r="H196" i="5"/>
  <c r="G196" i="5"/>
  <c r="D196" i="5"/>
  <c r="L24" i="5"/>
  <c r="K24" i="5"/>
  <c r="J24" i="5"/>
  <c r="I24" i="5"/>
  <c r="G24" i="5"/>
  <c r="H24" i="5"/>
  <c r="F24" i="5"/>
  <c r="E24" i="5"/>
  <c r="D24" i="5"/>
  <c r="L3" i="5"/>
  <c r="K3" i="5"/>
  <c r="I3" i="5"/>
  <c r="J3" i="5"/>
  <c r="G3" i="5"/>
  <c r="F3" i="5"/>
  <c r="L19" i="5"/>
  <c r="K19" i="5"/>
  <c r="J19" i="5"/>
  <c r="I19" i="5"/>
  <c r="G19" i="5"/>
  <c r="F19" i="5"/>
  <c r="D19" i="5"/>
  <c r="E19" i="5"/>
  <c r="H70" i="5"/>
  <c r="G70" i="5"/>
  <c r="F70" i="5"/>
  <c r="K70" i="5"/>
  <c r="L70" i="5"/>
  <c r="J70" i="5"/>
  <c r="I70" i="5"/>
  <c r="E70" i="5"/>
  <c r="D70" i="5"/>
  <c r="L27" i="5"/>
  <c r="K27" i="5"/>
  <c r="J27" i="5"/>
  <c r="I27" i="5"/>
  <c r="G27" i="5"/>
  <c r="F27" i="5"/>
  <c r="H27" i="5"/>
  <c r="D27" i="5"/>
  <c r="J144" i="5"/>
  <c r="F144" i="5"/>
  <c r="E144" i="5"/>
  <c r="D144" i="5"/>
  <c r="L144" i="5"/>
  <c r="K144" i="5"/>
  <c r="I144" i="5"/>
  <c r="H144" i="5"/>
  <c r="G144" i="5"/>
  <c r="L163" i="5"/>
  <c r="I163" i="5"/>
  <c r="K163" i="5"/>
  <c r="J163" i="5"/>
  <c r="H163" i="5"/>
  <c r="G163" i="5"/>
  <c r="F163" i="5"/>
  <c r="E163" i="5"/>
  <c r="H19" i="5"/>
  <c r="L109" i="5"/>
  <c r="H109" i="5"/>
  <c r="I109" i="5"/>
  <c r="G109" i="5"/>
  <c r="F109" i="5"/>
  <c r="K109" i="5"/>
  <c r="J109" i="5"/>
  <c r="E109" i="5"/>
  <c r="D109" i="5"/>
  <c r="L74" i="5"/>
  <c r="K74" i="5"/>
  <c r="J74" i="5"/>
  <c r="G74" i="5"/>
  <c r="I74" i="5"/>
  <c r="H74" i="5"/>
  <c r="F74" i="5"/>
  <c r="E74" i="5"/>
  <c r="D74" i="5"/>
  <c r="F116" i="5"/>
  <c r="L116" i="5"/>
  <c r="K116" i="5"/>
  <c r="J116" i="5"/>
  <c r="D116" i="5"/>
  <c r="I116" i="5"/>
  <c r="H116" i="5"/>
  <c r="E116" i="5"/>
  <c r="G116" i="5"/>
  <c r="L11" i="5"/>
  <c r="K11" i="5"/>
  <c r="I11" i="5"/>
  <c r="J11" i="5"/>
  <c r="H11" i="5"/>
  <c r="G11" i="5"/>
  <c r="F11" i="5"/>
  <c r="K35" i="5"/>
  <c r="I35" i="5"/>
  <c r="J35" i="5"/>
  <c r="H35" i="5"/>
  <c r="G35" i="5"/>
  <c r="F35" i="5"/>
  <c r="L35" i="5"/>
  <c r="F51" i="5"/>
  <c r="E51" i="5"/>
  <c r="L51" i="5"/>
  <c r="K51" i="5"/>
  <c r="I51" i="5"/>
  <c r="J51" i="5"/>
  <c r="H51" i="5"/>
  <c r="G51" i="5"/>
  <c r="D51" i="5"/>
  <c r="H151" i="5"/>
  <c r="D151" i="5"/>
  <c r="J151" i="5"/>
  <c r="I151" i="5"/>
  <c r="G151" i="5"/>
  <c r="L151" i="5"/>
  <c r="K151" i="5"/>
  <c r="E151" i="5"/>
  <c r="F151" i="5"/>
  <c r="D11" i="5"/>
  <c r="D35" i="5"/>
  <c r="F156" i="5"/>
  <c r="L156" i="5"/>
  <c r="G156" i="5"/>
  <c r="K156" i="5"/>
  <c r="J156" i="5"/>
  <c r="I156" i="5"/>
  <c r="H156" i="5"/>
  <c r="D156" i="5"/>
  <c r="E156" i="5"/>
  <c r="D49" i="5"/>
  <c r="L16" i="5"/>
  <c r="K16" i="5"/>
  <c r="J16" i="5"/>
  <c r="I16" i="5"/>
  <c r="H16" i="5"/>
  <c r="G16" i="5"/>
  <c r="F16" i="5"/>
  <c r="E16" i="5"/>
  <c r="D16" i="5"/>
  <c r="E11" i="5"/>
  <c r="E35" i="5"/>
  <c r="L42" i="5"/>
  <c r="K42" i="5"/>
  <c r="J42" i="5"/>
  <c r="H42" i="5"/>
  <c r="I42" i="5"/>
  <c r="G42" i="5"/>
  <c r="F42" i="5"/>
  <c r="E42" i="5"/>
  <c r="L68" i="5"/>
  <c r="K68" i="5"/>
  <c r="J68" i="5"/>
  <c r="I68" i="5"/>
  <c r="H68" i="5"/>
  <c r="G68" i="5"/>
  <c r="F68" i="5"/>
  <c r="F102" i="5"/>
  <c r="E102" i="5"/>
  <c r="D102" i="5"/>
  <c r="L102" i="5"/>
  <c r="K102" i="5"/>
  <c r="J102" i="5"/>
  <c r="I102" i="5"/>
  <c r="G102" i="5"/>
  <c r="H102" i="5"/>
  <c r="F180" i="5"/>
  <c r="L180" i="5"/>
  <c r="K180" i="5"/>
  <c r="J180" i="5"/>
  <c r="E180" i="5"/>
  <c r="D180" i="5"/>
  <c r="H180" i="5"/>
  <c r="I180" i="5"/>
  <c r="L32" i="5"/>
  <c r="K32" i="5"/>
  <c r="J32" i="5"/>
  <c r="I32" i="5"/>
  <c r="G32" i="5"/>
  <c r="H32" i="5"/>
  <c r="E32" i="5"/>
  <c r="D32" i="5"/>
  <c r="D42" i="5"/>
  <c r="D68" i="5"/>
  <c r="G180" i="5"/>
  <c r="G10" i="5"/>
  <c r="G18" i="5"/>
  <c r="G39" i="5"/>
  <c r="H4" i="5"/>
  <c r="D6" i="5"/>
  <c r="L10" i="5"/>
  <c r="H12" i="5"/>
  <c r="D14" i="5"/>
  <c r="L18" i="5"/>
  <c r="H20" i="5"/>
  <c r="D22" i="5"/>
  <c r="L26" i="5"/>
  <c r="H28" i="5"/>
  <c r="D30" i="5"/>
  <c r="L34" i="5"/>
  <c r="H36" i="5"/>
  <c r="D38" i="5"/>
  <c r="L39" i="5"/>
  <c r="G45" i="5"/>
  <c r="H62" i="5"/>
  <c r="G62" i="5"/>
  <c r="F62" i="5"/>
  <c r="I77" i="5"/>
  <c r="G88" i="5"/>
  <c r="I90" i="5"/>
  <c r="E95" i="5"/>
  <c r="H99" i="5"/>
  <c r="H111" i="5"/>
  <c r="D111" i="5"/>
  <c r="G111" i="5"/>
  <c r="F111" i="5"/>
  <c r="E111" i="5"/>
  <c r="L123" i="5"/>
  <c r="G123" i="5"/>
  <c r="L158" i="5"/>
  <c r="K158" i="5"/>
  <c r="J158" i="5"/>
  <c r="E158" i="5"/>
  <c r="D165" i="5"/>
  <c r="J167" i="5"/>
  <c r="D170" i="5"/>
  <c r="H175" i="5"/>
  <c r="D175" i="5"/>
  <c r="G175" i="5"/>
  <c r="F175" i="5"/>
  <c r="E175" i="5"/>
  <c r="J80" i="5"/>
  <c r="F80" i="5"/>
  <c r="E80" i="5"/>
  <c r="D80" i="5"/>
  <c r="L91" i="5"/>
  <c r="F91" i="5"/>
  <c r="E91" i="5"/>
  <c r="D91" i="5"/>
  <c r="J128" i="5"/>
  <c r="L128" i="5"/>
  <c r="L173" i="5"/>
  <c r="H173" i="5"/>
  <c r="I173" i="5"/>
  <c r="G173" i="5"/>
  <c r="F173" i="5"/>
  <c r="J178" i="5"/>
  <c r="F178" i="5"/>
  <c r="L178" i="5"/>
  <c r="E178" i="5"/>
  <c r="H183" i="5"/>
  <c r="D183" i="5"/>
  <c r="L183" i="5"/>
  <c r="K183" i="5"/>
  <c r="G183" i="5"/>
  <c r="L4" i="5"/>
  <c r="L12" i="5"/>
  <c r="L20" i="5"/>
  <c r="L28" i="5"/>
  <c r="L36" i="5"/>
  <c r="L44" i="5"/>
  <c r="K44" i="5"/>
  <c r="K45" i="5"/>
  <c r="H78" i="5"/>
  <c r="G78" i="5"/>
  <c r="F78" i="5"/>
  <c r="G80" i="5"/>
  <c r="L88" i="5"/>
  <c r="F100" i="5"/>
  <c r="H100" i="5"/>
  <c r="G100" i="5"/>
  <c r="E100" i="5"/>
  <c r="J114" i="5"/>
  <c r="F114" i="5"/>
  <c r="L114" i="5"/>
  <c r="E114" i="5"/>
  <c r="D128" i="5"/>
  <c r="D161" i="5"/>
  <c r="K161" i="5"/>
  <c r="D173" i="5"/>
  <c r="D178" i="5"/>
  <c r="E183" i="5"/>
  <c r="J186" i="5"/>
  <c r="F186" i="5"/>
  <c r="G186" i="5"/>
  <c r="E186" i="5"/>
  <c r="D186" i="5"/>
  <c r="H207" i="5"/>
  <c r="D207" i="5"/>
  <c r="J207" i="5"/>
  <c r="I207" i="5"/>
  <c r="E207" i="5"/>
  <c r="L76" i="5"/>
  <c r="K76" i="5"/>
  <c r="J76" i="5"/>
  <c r="D121" i="5"/>
  <c r="I121" i="5"/>
  <c r="H142" i="5"/>
  <c r="G142" i="5"/>
  <c r="F142" i="5"/>
  <c r="G91" i="5"/>
  <c r="I6" i="5"/>
  <c r="I14" i="5"/>
  <c r="I22" i="5"/>
  <c r="I30" i="5"/>
  <c r="D44" i="5"/>
  <c r="L45" i="5"/>
  <c r="K62" i="5"/>
  <c r="H66" i="5"/>
  <c r="E76" i="5"/>
  <c r="D78" i="5"/>
  <c r="H80" i="5"/>
  <c r="D89" i="5"/>
  <c r="H89" i="5"/>
  <c r="G89" i="5"/>
  <c r="F89" i="5"/>
  <c r="H91" i="5"/>
  <c r="D100" i="5"/>
  <c r="J112" i="5"/>
  <c r="G112" i="5"/>
  <c r="D114" i="5"/>
  <c r="F121" i="5"/>
  <c r="I123" i="5"/>
  <c r="E128" i="5"/>
  <c r="E142" i="5"/>
  <c r="L147" i="5"/>
  <c r="K147" i="5"/>
  <c r="J147" i="5"/>
  <c r="E147" i="5"/>
  <c r="J154" i="5"/>
  <c r="F154" i="5"/>
  <c r="H154" i="5"/>
  <c r="I158" i="5"/>
  <c r="E161" i="5"/>
  <c r="E173" i="5"/>
  <c r="J176" i="5"/>
  <c r="G176" i="5"/>
  <c r="D176" i="5"/>
  <c r="G178" i="5"/>
  <c r="L181" i="5"/>
  <c r="H181" i="5"/>
  <c r="I181" i="5"/>
  <c r="F183" i="5"/>
  <c r="H186" i="5"/>
  <c r="F207" i="5"/>
  <c r="H46" i="5"/>
  <c r="G46" i="5"/>
  <c r="F76" i="5"/>
  <c r="I80" i="5"/>
  <c r="I91" i="5"/>
  <c r="J98" i="5"/>
  <c r="F98" i="5"/>
  <c r="I98" i="5"/>
  <c r="H98" i="5"/>
  <c r="G98" i="5"/>
  <c r="H119" i="5"/>
  <c r="D119" i="5"/>
  <c r="K119" i="5"/>
  <c r="G121" i="5"/>
  <c r="F128" i="5"/>
  <c r="L133" i="5"/>
  <c r="H133" i="5"/>
  <c r="F133" i="5"/>
  <c r="E133" i="5"/>
  <c r="D133" i="5"/>
  <c r="F140" i="5"/>
  <c r="J140" i="5"/>
  <c r="I140" i="5"/>
  <c r="H140" i="5"/>
  <c r="I142" i="5"/>
  <c r="H159" i="5"/>
  <c r="D159" i="5"/>
  <c r="F166" i="5"/>
  <c r="E166" i="5"/>
  <c r="D166" i="5"/>
  <c r="L166" i="5"/>
  <c r="J173" i="5"/>
  <c r="H178" i="5"/>
  <c r="I183" i="5"/>
  <c r="L189" i="5"/>
  <c r="H189" i="5"/>
  <c r="K189" i="5"/>
  <c r="F189" i="5"/>
  <c r="E189" i="5"/>
  <c r="J194" i="5"/>
  <c r="F194" i="5"/>
  <c r="L194" i="5"/>
  <c r="K194" i="5"/>
  <c r="G194" i="5"/>
  <c r="H87" i="5"/>
  <c r="D87" i="5"/>
  <c r="J87" i="5"/>
  <c r="I87" i="5"/>
  <c r="G87" i="5"/>
  <c r="D98" i="5"/>
  <c r="D105" i="5"/>
  <c r="L105" i="5"/>
  <c r="K105" i="5"/>
  <c r="J105" i="5"/>
  <c r="E105" i="5"/>
  <c r="L117" i="5"/>
  <c r="H117" i="5"/>
  <c r="H121" i="5"/>
  <c r="G128" i="5"/>
  <c r="G133" i="5"/>
  <c r="J142" i="5"/>
  <c r="D145" i="5"/>
  <c r="L145" i="5"/>
  <c r="G145" i="5"/>
  <c r="E159" i="5"/>
  <c r="G166" i="5"/>
  <c r="D189" i="5"/>
  <c r="D10" i="5"/>
  <c r="D18" i="5"/>
  <c r="D26" i="5"/>
  <c r="D34" i="5"/>
  <c r="D39" i="5"/>
  <c r="G44" i="5"/>
  <c r="E46" i="5"/>
  <c r="F59" i="5"/>
  <c r="E59" i="5"/>
  <c r="D59" i="5"/>
  <c r="E61" i="5"/>
  <c r="D63" i="5"/>
  <c r="K66" i="5"/>
  <c r="H76" i="5"/>
  <c r="J78" i="5"/>
  <c r="L80" i="5"/>
  <c r="L83" i="5"/>
  <c r="K83" i="5"/>
  <c r="J83" i="5"/>
  <c r="L85" i="5"/>
  <c r="H85" i="5"/>
  <c r="K85" i="5"/>
  <c r="J85" i="5"/>
  <c r="I85" i="5"/>
  <c r="E87" i="5"/>
  <c r="K91" i="5"/>
  <c r="L94" i="5"/>
  <c r="K94" i="5"/>
  <c r="J94" i="5"/>
  <c r="E98" i="5"/>
  <c r="K100" i="5"/>
  <c r="F105" i="5"/>
  <c r="D110" i="5"/>
  <c r="I114" i="5"/>
  <c r="D117" i="5"/>
  <c r="F119" i="5"/>
  <c r="J121" i="5"/>
  <c r="H128" i="5"/>
  <c r="L131" i="5"/>
  <c r="H131" i="5"/>
  <c r="G131" i="5"/>
  <c r="F131" i="5"/>
  <c r="I133" i="5"/>
  <c r="E140" i="5"/>
  <c r="K142" i="5"/>
  <c r="E145" i="5"/>
  <c r="F159" i="5"/>
  <c r="H161" i="5"/>
  <c r="H166" i="5"/>
  <c r="I174" i="5"/>
  <c r="F174" i="5"/>
  <c r="K178" i="5"/>
  <c r="J184" i="5"/>
  <c r="H184" i="5"/>
  <c r="G184" i="5"/>
  <c r="F184" i="5"/>
  <c r="L186" i="5"/>
  <c r="G189" i="5"/>
  <c r="E194" i="5"/>
  <c r="L207" i="5"/>
  <c r="D46" i="5"/>
  <c r="J57" i="5"/>
  <c r="I57" i="5"/>
  <c r="H57" i="5"/>
  <c r="D61" i="5"/>
  <c r="G76" i="5"/>
  <c r="K80" i="5"/>
  <c r="J91" i="5"/>
  <c r="J96" i="5"/>
  <c r="K96" i="5"/>
  <c r="I96" i="5"/>
  <c r="H96" i="5"/>
  <c r="E119" i="5"/>
  <c r="D140" i="5"/>
  <c r="J152" i="5"/>
  <c r="I152" i="5"/>
  <c r="K173" i="5"/>
  <c r="I178" i="5"/>
  <c r="J183" i="5"/>
  <c r="D194" i="5"/>
  <c r="L197" i="5"/>
  <c r="H197" i="5"/>
  <c r="F197" i="5"/>
  <c r="E197" i="5"/>
  <c r="D197" i="5"/>
  <c r="E10" i="5"/>
  <c r="E18" i="5"/>
  <c r="E26" i="5"/>
  <c r="E34" i="5"/>
  <c r="E39" i="5"/>
  <c r="H44" i="5"/>
  <c r="F46" i="5"/>
  <c r="E57" i="5"/>
  <c r="G59" i="5"/>
  <c r="F61" i="5"/>
  <c r="E63" i="5"/>
  <c r="J65" i="5"/>
  <c r="I65" i="5"/>
  <c r="H65" i="5"/>
  <c r="D69" i="5"/>
  <c r="I76" i="5"/>
  <c r="K78" i="5"/>
  <c r="D81" i="5"/>
  <c r="L81" i="5"/>
  <c r="D83" i="5"/>
  <c r="D85" i="5"/>
  <c r="F87" i="5"/>
  <c r="F92" i="5"/>
  <c r="L92" i="5"/>
  <c r="D94" i="5"/>
  <c r="E96" i="5"/>
  <c r="K98" i="5"/>
  <c r="L100" i="5"/>
  <c r="H103" i="5"/>
  <c r="D103" i="5"/>
  <c r="L103" i="5"/>
  <c r="F103" i="5"/>
  <c r="G105" i="5"/>
  <c r="E110" i="5"/>
  <c r="K114" i="5"/>
  <c r="E117" i="5"/>
  <c r="G119" i="5"/>
  <c r="K121" i="5"/>
  <c r="I128" i="5"/>
  <c r="D131" i="5"/>
  <c r="J133" i="5"/>
  <c r="G140" i="5"/>
  <c r="L142" i="5"/>
  <c r="F145" i="5"/>
  <c r="E152" i="5"/>
  <c r="G159" i="5"/>
  <c r="I161" i="5"/>
  <c r="F164" i="5"/>
  <c r="H164" i="5"/>
  <c r="G164" i="5"/>
  <c r="E164" i="5"/>
  <c r="I166" i="5"/>
  <c r="D174" i="5"/>
  <c r="D184" i="5"/>
  <c r="L187" i="5"/>
  <c r="H187" i="5"/>
  <c r="G187" i="5"/>
  <c r="D187" i="5"/>
  <c r="I189" i="5"/>
  <c r="J192" i="5"/>
  <c r="L192" i="5"/>
  <c r="H192" i="5"/>
  <c r="H194" i="5"/>
  <c r="I197" i="5"/>
  <c r="J200" i="5"/>
  <c r="L200" i="5"/>
  <c r="K200" i="5"/>
  <c r="F200" i="5"/>
  <c r="E200" i="5"/>
  <c r="L205" i="5"/>
  <c r="H205" i="5"/>
  <c r="K205" i="5"/>
  <c r="J205" i="5"/>
  <c r="F205" i="5"/>
  <c r="J208" i="5"/>
  <c r="F208" i="5"/>
  <c r="E208" i="5"/>
  <c r="D208" i="5"/>
  <c r="G208" i="5"/>
  <c r="J41" i="5"/>
  <c r="I41" i="5"/>
  <c r="I46" i="5"/>
  <c r="G61" i="5"/>
  <c r="F67" i="5"/>
  <c r="E67" i="5"/>
  <c r="D67" i="5"/>
  <c r="L98" i="5"/>
  <c r="L101" i="5"/>
  <c r="H101" i="5"/>
  <c r="F108" i="5"/>
  <c r="K108" i="5"/>
  <c r="I119" i="5"/>
  <c r="L121" i="5"/>
  <c r="K128" i="5"/>
  <c r="K133" i="5"/>
  <c r="J136" i="5"/>
  <c r="L136" i="5"/>
  <c r="K136" i="5"/>
  <c r="E136" i="5"/>
  <c r="K140" i="5"/>
  <c r="H143" i="5"/>
  <c r="D143" i="5"/>
  <c r="I143" i="5"/>
  <c r="I159" i="5"/>
  <c r="J166" i="5"/>
  <c r="D169" i="5"/>
  <c r="L169" i="5"/>
  <c r="K169" i="5"/>
  <c r="J169" i="5"/>
  <c r="E169" i="5"/>
  <c r="J189" i="5"/>
  <c r="I194" i="5"/>
  <c r="J197" i="5"/>
  <c r="G34" i="5"/>
  <c r="D41" i="5"/>
  <c r="J46" i="5"/>
  <c r="L52" i="5"/>
  <c r="K52" i="5"/>
  <c r="G57" i="5"/>
  <c r="H61" i="5"/>
  <c r="G63" i="5"/>
  <c r="J73" i="5"/>
  <c r="I73" i="5"/>
  <c r="H73" i="5"/>
  <c r="D77" i="5"/>
  <c r="H79" i="5"/>
  <c r="D79" i="5"/>
  <c r="L87" i="5"/>
  <c r="G96" i="5"/>
  <c r="D101" i="5"/>
  <c r="I105" i="5"/>
  <c r="D108" i="5"/>
  <c r="G110" i="5"/>
  <c r="G117" i="5"/>
  <c r="J119" i="5"/>
  <c r="J122" i="5"/>
  <c r="F122" i="5"/>
  <c r="G122" i="5"/>
  <c r="E122" i="5"/>
  <c r="D122" i="5"/>
  <c r="D129" i="5"/>
  <c r="J129" i="5"/>
  <c r="I129" i="5"/>
  <c r="H129" i="5"/>
  <c r="L134" i="5"/>
  <c r="G134" i="5"/>
  <c r="D136" i="5"/>
  <c r="L140" i="5"/>
  <c r="E143" i="5"/>
  <c r="I145" i="5"/>
  <c r="G152" i="5"/>
  <c r="J159" i="5"/>
  <c r="K166" i="5"/>
  <c r="F169" i="5"/>
  <c r="L195" i="5"/>
  <c r="H195" i="5"/>
  <c r="G195" i="5"/>
  <c r="F195" i="5"/>
  <c r="K197" i="5"/>
  <c r="G67" i="5"/>
  <c r="D4" i="5"/>
  <c r="H10" i="5"/>
  <c r="H18" i="5"/>
  <c r="D20" i="5"/>
  <c r="H26" i="5"/>
  <c r="D28" i="5"/>
  <c r="H34" i="5"/>
  <c r="D36" i="5"/>
  <c r="H39" i="5"/>
  <c r="E41" i="5"/>
  <c r="F43" i="5"/>
  <c r="E43" i="5"/>
  <c r="D52" i="5"/>
  <c r="K57" i="5"/>
  <c r="I61" i="5"/>
  <c r="H63" i="5"/>
  <c r="H67" i="5"/>
  <c r="D73" i="5"/>
  <c r="F75" i="5"/>
  <c r="E75" i="5"/>
  <c r="D75" i="5"/>
  <c r="E77" i="5"/>
  <c r="E79" i="5"/>
  <c r="L96" i="5"/>
  <c r="D99" i="5"/>
  <c r="E101" i="5"/>
  <c r="J106" i="5"/>
  <c r="F106" i="5"/>
  <c r="E108" i="5"/>
  <c r="H110" i="5"/>
  <c r="I117" i="5"/>
  <c r="L119" i="5"/>
  <c r="E129" i="5"/>
  <c r="D134" i="5"/>
  <c r="F136" i="5"/>
  <c r="L141" i="5"/>
  <c r="H141" i="5"/>
  <c r="J141" i="5"/>
  <c r="F143" i="5"/>
  <c r="H152" i="5"/>
  <c r="L155" i="5"/>
  <c r="F155" i="5"/>
  <c r="E155" i="5"/>
  <c r="D155" i="5"/>
  <c r="J162" i="5"/>
  <c r="F162" i="5"/>
  <c r="I162" i="5"/>
  <c r="H162" i="5"/>
  <c r="G162" i="5"/>
  <c r="G169" i="5"/>
  <c r="D195" i="5"/>
  <c r="L198" i="5"/>
  <c r="H198" i="5"/>
  <c r="G198" i="5"/>
  <c r="D198" i="5"/>
  <c r="J90" i="5"/>
  <c r="F90" i="5"/>
  <c r="D12" i="5"/>
  <c r="K46" i="5"/>
  <c r="H122" i="5"/>
  <c r="J145" i="5"/>
  <c r="K159" i="5"/>
  <c r="F172" i="5"/>
  <c r="K172" i="5"/>
  <c r="H172" i="5"/>
  <c r="E4" i="5"/>
  <c r="K5" i="5"/>
  <c r="G7" i="5"/>
  <c r="I10" i="5"/>
  <c r="E12" i="5"/>
  <c r="K13" i="5"/>
  <c r="G15" i="5"/>
  <c r="I18" i="5"/>
  <c r="E20" i="5"/>
  <c r="K21" i="5"/>
  <c r="G23" i="5"/>
  <c r="I26" i="5"/>
  <c r="E28" i="5"/>
  <c r="K29" i="5"/>
  <c r="G31" i="5"/>
  <c r="I34" i="5"/>
  <c r="E36" i="5"/>
  <c r="K37" i="5"/>
  <c r="I39" i="5"/>
  <c r="F41" i="5"/>
  <c r="D43" i="5"/>
  <c r="D45" i="5"/>
  <c r="L46" i="5"/>
  <c r="G50" i="5"/>
  <c r="E52" i="5"/>
  <c r="H54" i="5"/>
  <c r="G54" i="5"/>
  <c r="K55" i="5"/>
  <c r="L57" i="5"/>
  <c r="K59" i="5"/>
  <c r="J61" i="5"/>
  <c r="I63" i="5"/>
  <c r="G65" i="5"/>
  <c r="I67" i="5"/>
  <c r="H69" i="5"/>
  <c r="G71" i="5"/>
  <c r="E73" i="5"/>
  <c r="G75" i="5"/>
  <c r="F77" i="5"/>
  <c r="F79" i="5"/>
  <c r="H81" i="5"/>
  <c r="H83" i="5"/>
  <c r="D88" i="5"/>
  <c r="E90" i="5"/>
  <c r="H92" i="5"/>
  <c r="H94" i="5"/>
  <c r="E99" i="5"/>
  <c r="F101" i="5"/>
  <c r="J103" i="5"/>
  <c r="D106" i="5"/>
  <c r="G108" i="5"/>
  <c r="J110" i="5"/>
  <c r="J117" i="5"/>
  <c r="J120" i="5"/>
  <c r="H120" i="5"/>
  <c r="G120" i="5"/>
  <c r="F120" i="5"/>
  <c r="I122" i="5"/>
  <c r="F129" i="5"/>
  <c r="K131" i="5"/>
  <c r="E134" i="5"/>
  <c r="G136" i="5"/>
  <c r="D141" i="5"/>
  <c r="G143" i="5"/>
  <c r="K145" i="5"/>
  <c r="G150" i="5"/>
  <c r="K152" i="5"/>
  <c r="G155" i="5"/>
  <c r="L159" i="5"/>
  <c r="D162" i="5"/>
  <c r="K164" i="5"/>
  <c r="H169" i="5"/>
  <c r="D172" i="5"/>
  <c r="J174" i="5"/>
  <c r="L184" i="5"/>
  <c r="J187" i="5"/>
  <c r="G192" i="5"/>
  <c r="E195" i="5"/>
  <c r="E198" i="5"/>
  <c r="I200" i="5"/>
  <c r="I205" i="5"/>
  <c r="L208" i="5"/>
  <c r="L211" i="5"/>
  <c r="K211" i="5"/>
  <c r="J211" i="5"/>
  <c r="F211" i="5"/>
  <c r="E211" i="5"/>
  <c r="G26" i="5"/>
  <c r="H167" i="5"/>
  <c r="D167" i="5"/>
  <c r="L167" i="5"/>
  <c r="F167" i="5"/>
  <c r="F4" i="5"/>
  <c r="J10" i="5"/>
  <c r="F12" i="5"/>
  <c r="J18" i="5"/>
  <c r="F20" i="5"/>
  <c r="J26" i="5"/>
  <c r="F28" i="5"/>
  <c r="J34" i="5"/>
  <c r="F36" i="5"/>
  <c r="J39" i="5"/>
  <c r="G41" i="5"/>
  <c r="G43" i="5"/>
  <c r="E45" i="5"/>
  <c r="F52" i="5"/>
  <c r="D54" i="5"/>
  <c r="L59" i="5"/>
  <c r="K61" i="5"/>
  <c r="J63" i="5"/>
  <c r="K65" i="5"/>
  <c r="J67" i="5"/>
  <c r="H71" i="5"/>
  <c r="F73" i="5"/>
  <c r="H75" i="5"/>
  <c r="G77" i="5"/>
  <c r="G79" i="5"/>
  <c r="I81" i="5"/>
  <c r="I83" i="5"/>
  <c r="E88" i="5"/>
  <c r="G90" i="5"/>
  <c r="I92" i="5"/>
  <c r="I94" i="5"/>
  <c r="E97" i="5"/>
  <c r="F99" i="5"/>
  <c r="G101" i="5"/>
  <c r="K103" i="5"/>
  <c r="E106" i="5"/>
  <c r="H108" i="5"/>
  <c r="K110" i="5"/>
  <c r="K117" i="5"/>
  <c r="D120" i="5"/>
  <c r="K122" i="5"/>
  <c r="G129" i="5"/>
  <c r="F132" i="5"/>
  <c r="I132" i="5"/>
  <c r="F134" i="5"/>
  <c r="H136" i="5"/>
  <c r="L139" i="5"/>
  <c r="K139" i="5"/>
  <c r="E141" i="5"/>
  <c r="J143" i="5"/>
  <c r="H150" i="5"/>
  <c r="L152" i="5"/>
  <c r="H155" i="5"/>
  <c r="E162" i="5"/>
  <c r="L164" i="5"/>
  <c r="G167" i="5"/>
  <c r="I169" i="5"/>
  <c r="E172" i="5"/>
  <c r="K174" i="5"/>
  <c r="D185" i="5"/>
  <c r="J185" i="5"/>
  <c r="I185" i="5"/>
  <c r="F185" i="5"/>
  <c r="K187" i="5"/>
  <c r="I192" i="5"/>
  <c r="I195" i="5"/>
  <c r="F198" i="5"/>
  <c r="H206" i="5"/>
  <c r="G206" i="5"/>
  <c r="F206" i="5"/>
  <c r="I206" i="5"/>
  <c r="D211" i="5"/>
  <c r="H38" i="5"/>
  <c r="G38" i="5"/>
  <c r="H41" i="5"/>
  <c r="H43" i="5"/>
  <c r="G52" i="5"/>
  <c r="L60" i="5"/>
  <c r="K60" i="5"/>
  <c r="J60" i="5"/>
  <c r="K63" i="5"/>
  <c r="K67" i="5"/>
  <c r="G73" i="5"/>
  <c r="I75" i="5"/>
  <c r="I79" i="5"/>
  <c r="F88" i="5"/>
  <c r="H90" i="5"/>
  <c r="H95" i="5"/>
  <c r="D95" i="5"/>
  <c r="G99" i="5"/>
  <c r="I101" i="5"/>
  <c r="G106" i="5"/>
  <c r="I108" i="5"/>
  <c r="L110" i="5"/>
  <c r="L122" i="5"/>
  <c r="L125" i="5"/>
  <c r="H125" i="5"/>
  <c r="K125" i="5"/>
  <c r="E125" i="5"/>
  <c r="K129" i="5"/>
  <c r="H134" i="5"/>
  <c r="I136" i="5"/>
  <c r="F141" i="5"/>
  <c r="K143" i="5"/>
  <c r="D153" i="5"/>
  <c r="H153" i="5"/>
  <c r="G153" i="5"/>
  <c r="F153" i="5"/>
  <c r="I155" i="5"/>
  <c r="K162" i="5"/>
  <c r="L165" i="5"/>
  <c r="H165" i="5"/>
  <c r="G165" i="5"/>
  <c r="I167" i="5"/>
  <c r="J170" i="5"/>
  <c r="F170" i="5"/>
  <c r="I170" i="5"/>
  <c r="G172" i="5"/>
  <c r="J195" i="5"/>
  <c r="I198" i="5"/>
  <c r="H203" i="5"/>
  <c r="H127" i="5"/>
  <c r="D127" i="5"/>
  <c r="J138" i="5"/>
  <c r="F138" i="5"/>
  <c r="L149" i="5"/>
  <c r="H149" i="5"/>
  <c r="H191" i="5"/>
  <c r="D191" i="5"/>
  <c r="J202" i="5"/>
  <c r="F202" i="5"/>
  <c r="K203" i="5"/>
  <c r="G209" i="5"/>
  <c r="L213" i="5"/>
  <c r="H213" i="5"/>
  <c r="H107" i="5"/>
  <c r="H118" i="5"/>
  <c r="J127" i="5"/>
  <c r="I138" i="5"/>
  <c r="I149" i="5"/>
  <c r="H160" i="5"/>
  <c r="H171" i="5"/>
  <c r="H182" i="5"/>
  <c r="J191" i="5"/>
  <c r="H193" i="5"/>
  <c r="I202" i="5"/>
  <c r="H204" i="5"/>
  <c r="L209" i="5"/>
  <c r="I213" i="5"/>
  <c r="J82" i="5"/>
  <c r="F82" i="5"/>
  <c r="L93" i="5"/>
  <c r="H93" i="5"/>
  <c r="I107" i="5"/>
  <c r="E113" i="5"/>
  <c r="I118" i="5"/>
  <c r="D124" i="5"/>
  <c r="K127" i="5"/>
  <c r="H135" i="5"/>
  <c r="D135" i="5"/>
  <c r="K138" i="5"/>
  <c r="J146" i="5"/>
  <c r="F146" i="5"/>
  <c r="J149" i="5"/>
  <c r="L157" i="5"/>
  <c r="H157" i="5"/>
  <c r="I160" i="5"/>
  <c r="I171" i="5"/>
  <c r="E177" i="5"/>
  <c r="I182" i="5"/>
  <c r="D188" i="5"/>
  <c r="K191" i="5"/>
  <c r="I193" i="5"/>
  <c r="H199" i="5"/>
  <c r="D199" i="5"/>
  <c r="K202" i="5"/>
  <c r="I204" i="5"/>
  <c r="J210" i="5"/>
  <c r="F210" i="5"/>
  <c r="J213" i="5"/>
  <c r="D82" i="5"/>
  <c r="D93" i="5"/>
  <c r="D104" i="5"/>
  <c r="J107" i="5"/>
  <c r="F113" i="5"/>
  <c r="D115" i="5"/>
  <c r="E124" i="5"/>
  <c r="L127" i="5"/>
  <c r="E135" i="5"/>
  <c r="L138" i="5"/>
  <c r="D146" i="5"/>
  <c r="K149" i="5"/>
  <c r="D157" i="5"/>
  <c r="K160" i="5"/>
  <c r="D168" i="5"/>
  <c r="J171" i="5"/>
  <c r="F177" i="5"/>
  <c r="D179" i="5"/>
  <c r="E188" i="5"/>
  <c r="L191" i="5"/>
  <c r="J193" i="5"/>
  <c r="E199" i="5"/>
  <c r="L202" i="5"/>
  <c r="J204" i="5"/>
  <c r="K213" i="5"/>
  <c r="L42" i="4"/>
  <c r="K26" i="4"/>
  <c r="J12" i="4"/>
  <c r="J19" i="4"/>
  <c r="E12" i="4"/>
  <c r="J44" i="4"/>
  <c r="J8" i="4"/>
  <c r="L44" i="4"/>
  <c r="G30" i="4"/>
  <c r="E44" i="4"/>
  <c r="H51" i="4"/>
  <c r="H46" i="4"/>
  <c r="D8" i="4"/>
  <c r="H30" i="4"/>
  <c r="J54" i="4"/>
  <c r="F40" i="4"/>
  <c r="J51" i="4"/>
  <c r="K19" i="4"/>
  <c r="E32" i="4"/>
  <c r="K61" i="4"/>
  <c r="E19" i="4"/>
  <c r="H48" i="4"/>
  <c r="D35" i="4"/>
  <c r="E62" i="4"/>
  <c r="L46" i="4"/>
  <c r="D10" i="4"/>
  <c r="F13" i="4"/>
  <c r="E35" i="4"/>
  <c r="G42" i="4"/>
  <c r="G46" i="4"/>
  <c r="D58" i="4"/>
  <c r="G62" i="4"/>
  <c r="L51" i="4"/>
  <c r="L19" i="4"/>
  <c r="G35" i="4"/>
  <c r="J46" i="4"/>
  <c r="F58" i="4"/>
  <c r="L43" i="4"/>
  <c r="D18" i="4"/>
  <c r="G19" i="4"/>
  <c r="F51" i="4"/>
  <c r="I14" i="4"/>
  <c r="H35" i="4"/>
  <c r="F61" i="4"/>
  <c r="F19" i="4"/>
  <c r="F28" i="4"/>
  <c r="J14" i="4"/>
  <c r="K29" i="4"/>
  <c r="I35" i="4"/>
  <c r="J48" i="4"/>
  <c r="I58" i="4"/>
  <c r="J10" i="4"/>
  <c r="K14" i="4"/>
  <c r="E26" i="4"/>
  <c r="F29" i="4"/>
  <c r="J35" i="4"/>
  <c r="G43" i="4"/>
  <c r="J58" i="4"/>
  <c r="K51" i="4"/>
  <c r="H19" i="4"/>
  <c r="I34" i="4"/>
  <c r="G13" i="4"/>
  <c r="F35" i="4"/>
  <c r="G10" i="4"/>
  <c r="I6" i="4"/>
  <c r="L10" i="4"/>
  <c r="L14" i="4"/>
  <c r="F26" i="4"/>
  <c r="K35" i="4"/>
  <c r="K38" i="4"/>
  <c r="H43" i="4"/>
  <c r="G51" i="4"/>
  <c r="G54" i="4"/>
  <c r="E59" i="4"/>
  <c r="G14" i="4"/>
  <c r="D26" i="4"/>
  <c r="F43" i="4"/>
  <c r="F59" i="4"/>
  <c r="J33" i="4"/>
  <c r="D48" i="4"/>
  <c r="K8" i="4"/>
  <c r="H14" i="4"/>
  <c r="K17" i="4"/>
  <c r="G34" i="4"/>
  <c r="E40" i="4"/>
  <c r="G45" i="4"/>
  <c r="I48" i="4"/>
  <c r="J57" i="4"/>
  <c r="K59" i="4"/>
  <c r="L62" i="4"/>
  <c r="E18" i="4"/>
  <c r="H49" i="4"/>
  <c r="F18" i="4"/>
  <c r="G18" i="4"/>
  <c r="D24" i="4"/>
  <c r="H32" i="4"/>
  <c r="K40" i="4"/>
  <c r="K49" i="4"/>
  <c r="F12" i="4"/>
  <c r="L16" i="4"/>
  <c r="I18" i="4"/>
  <c r="E24" i="4"/>
  <c r="I32" i="4"/>
  <c r="H41" i="4"/>
  <c r="I46" i="4"/>
  <c r="L50" i="4"/>
  <c r="L34" i="4"/>
  <c r="J18" i="4"/>
  <c r="F24" i="4"/>
  <c r="D50" i="4"/>
  <c r="L56" i="4"/>
  <c r="E16" i="4"/>
  <c r="L18" i="4"/>
  <c r="H24" i="4"/>
  <c r="D30" i="4"/>
  <c r="K32" i="4"/>
  <c r="K41" i="4"/>
  <c r="K46" i="4"/>
  <c r="E50" i="4"/>
  <c r="D56" i="4"/>
  <c r="J34" i="4"/>
  <c r="F32" i="4"/>
  <c r="D16" i="4"/>
  <c r="L8" i="4"/>
  <c r="F16" i="4"/>
  <c r="F27" i="4"/>
  <c r="E30" i="4"/>
  <c r="H33" i="4"/>
  <c r="F50" i="4"/>
  <c r="E56" i="4"/>
  <c r="D59" i="4"/>
  <c r="F62" i="4"/>
  <c r="I50" i="4"/>
  <c r="F8" i="4"/>
  <c r="J50" i="4"/>
  <c r="I56" i="4"/>
  <c r="H62" i="4"/>
  <c r="H8" i="4"/>
  <c r="D14" i="4"/>
  <c r="K16" i="4"/>
  <c r="J25" i="4"/>
  <c r="J30" i="4"/>
  <c r="D34" i="4"/>
  <c r="E48" i="4"/>
  <c r="D51" i="4"/>
  <c r="J56" i="4"/>
  <c r="H59" i="4"/>
  <c r="I62" i="4"/>
  <c r="L48" i="4"/>
  <c r="H25" i="4"/>
  <c r="I8" i="4"/>
  <c r="F11" i="4"/>
  <c r="E14" i="4"/>
  <c r="H17" i="4"/>
  <c r="I19" i="4"/>
  <c r="K27" i="4"/>
  <c r="K30" i="4"/>
  <c r="E34" i="4"/>
  <c r="L40" i="4"/>
  <c r="I42" i="4"/>
  <c r="L45" i="4"/>
  <c r="F48" i="4"/>
  <c r="E51" i="4"/>
  <c r="I59" i="4"/>
  <c r="J62" i="4"/>
  <c r="H16" i="4"/>
  <c r="I16" i="4"/>
  <c r="K34" i="4"/>
  <c r="F3" i="4"/>
  <c r="L13" i="4"/>
  <c r="K4" i="4"/>
  <c r="I9" i="4"/>
  <c r="K12" i="4"/>
  <c r="I17" i="4"/>
  <c r="K20" i="4"/>
  <c r="I25" i="4"/>
  <c r="K28" i="4"/>
  <c r="I33" i="4"/>
  <c r="K36" i="4"/>
  <c r="I41" i="4"/>
  <c r="K44" i="4"/>
  <c r="I49" i="4"/>
  <c r="K52" i="4"/>
  <c r="I57" i="4"/>
  <c r="K60" i="4"/>
  <c r="D5" i="4"/>
  <c r="L9" i="4"/>
  <c r="D13" i="4"/>
  <c r="L17" i="4"/>
  <c r="D21" i="4"/>
  <c r="L25" i="4"/>
  <c r="D29" i="4"/>
  <c r="L33" i="4"/>
  <c r="D37" i="4"/>
  <c r="L41" i="4"/>
  <c r="D45" i="4"/>
  <c r="L49" i="4"/>
  <c r="D53" i="4"/>
  <c r="L57" i="4"/>
  <c r="D61" i="4"/>
  <c r="I3" i="4"/>
  <c r="E5" i="4"/>
  <c r="G8" i="4"/>
  <c r="I11" i="4"/>
  <c r="E13" i="4"/>
  <c r="G16" i="4"/>
  <c r="E21" i="4"/>
  <c r="G24" i="4"/>
  <c r="E29" i="4"/>
  <c r="G32" i="4"/>
  <c r="E37" i="4"/>
  <c r="G40" i="4"/>
  <c r="E45" i="4"/>
  <c r="G48" i="4"/>
  <c r="E53" i="4"/>
  <c r="G56" i="4"/>
  <c r="E61" i="4"/>
  <c r="D7" i="4"/>
  <c r="H13" i="4"/>
  <c r="D23" i="4"/>
  <c r="D31" i="4"/>
  <c r="H37" i="4"/>
  <c r="D47" i="4"/>
  <c r="H53" i="4"/>
  <c r="H61" i="4"/>
  <c r="I5" i="4"/>
  <c r="E7" i="4"/>
  <c r="I13" i="4"/>
  <c r="E15" i="4"/>
  <c r="I21" i="4"/>
  <c r="E23" i="4"/>
  <c r="I29" i="4"/>
  <c r="E31" i="4"/>
  <c r="I37" i="4"/>
  <c r="E39" i="4"/>
  <c r="I45" i="4"/>
  <c r="E47" i="4"/>
  <c r="I53" i="4"/>
  <c r="E55" i="4"/>
  <c r="I61" i="4"/>
  <c r="E63" i="4"/>
  <c r="H5" i="4"/>
  <c r="D15" i="4"/>
  <c r="H21" i="4"/>
  <c r="H29" i="4"/>
  <c r="D39" i="4"/>
  <c r="H45" i="4"/>
  <c r="D55" i="4"/>
  <c r="D63" i="4"/>
  <c r="D4" i="4"/>
  <c r="J5" i="4"/>
  <c r="F7" i="4"/>
  <c r="H10" i="4"/>
  <c r="D12" i="4"/>
  <c r="J13" i="4"/>
  <c r="F15" i="4"/>
  <c r="H18" i="4"/>
  <c r="D20" i="4"/>
  <c r="J21" i="4"/>
  <c r="F23" i="4"/>
  <c r="H26" i="4"/>
  <c r="D28" i="4"/>
  <c r="J29" i="4"/>
  <c r="F31" i="4"/>
  <c r="H34" i="4"/>
  <c r="D36" i="4"/>
  <c r="J37" i="4"/>
  <c r="F39" i="4"/>
  <c r="H42" i="4"/>
  <c r="D44" i="4"/>
  <c r="J45" i="4"/>
  <c r="F47" i="4"/>
  <c r="H50" i="4"/>
  <c r="D52" i="4"/>
  <c r="J53" i="4"/>
  <c r="F55" i="4"/>
  <c r="H58" i="4"/>
  <c r="D60" i="4"/>
  <c r="J61" i="4"/>
  <c r="F63" i="4"/>
  <c r="K5" i="4"/>
  <c r="G23" i="4"/>
  <c r="G39" i="4"/>
  <c r="K45" i="4"/>
  <c r="G55" i="4"/>
  <c r="H7" i="4"/>
  <c r="D9" i="4"/>
  <c r="H15" i="4"/>
  <c r="D17" i="4"/>
  <c r="H23" i="4"/>
  <c r="D25" i="4"/>
  <c r="L29" i="4"/>
  <c r="H31" i="4"/>
  <c r="D33" i="4"/>
  <c r="L37" i="4"/>
  <c r="H39" i="4"/>
  <c r="D41" i="4"/>
  <c r="H47" i="4"/>
  <c r="D49" i="4"/>
  <c r="L53" i="4"/>
  <c r="H55" i="4"/>
  <c r="D57" i="4"/>
  <c r="L61" i="4"/>
  <c r="G4" i="4"/>
  <c r="I7" i="4"/>
  <c r="E9" i="4"/>
  <c r="G12" i="4"/>
  <c r="I15" i="4"/>
  <c r="E17" i="4"/>
  <c r="G20" i="4"/>
  <c r="I23" i="4"/>
  <c r="E25" i="4"/>
  <c r="G28" i="4"/>
  <c r="I31" i="4"/>
  <c r="E33" i="4"/>
  <c r="G36" i="4"/>
  <c r="I39" i="4"/>
  <c r="E41" i="4"/>
  <c r="G44" i="4"/>
  <c r="I47" i="4"/>
  <c r="E49" i="4"/>
  <c r="K50" i="4"/>
  <c r="G52" i="4"/>
  <c r="I55" i="4"/>
  <c r="E57" i="4"/>
  <c r="K58" i="4"/>
  <c r="G60" i="4"/>
  <c r="I63" i="4"/>
  <c r="G15" i="4"/>
  <c r="K21" i="4"/>
  <c r="G47" i="4"/>
  <c r="G63" i="4"/>
  <c r="J7" i="4"/>
  <c r="F9" i="4"/>
  <c r="J15" i="4"/>
  <c r="F17" i="4"/>
  <c r="F25" i="4"/>
  <c r="H28" i="4"/>
  <c r="J31" i="4"/>
  <c r="F33" i="4"/>
  <c r="H36" i="4"/>
  <c r="J39" i="4"/>
  <c r="F41" i="4"/>
  <c r="H44" i="4"/>
  <c r="J47" i="4"/>
  <c r="F49" i="4"/>
  <c r="H52" i="4"/>
  <c r="J55" i="4"/>
  <c r="F57" i="4"/>
  <c r="H60" i="4"/>
  <c r="D62" i="4"/>
  <c r="J63" i="4"/>
  <c r="G7" i="4"/>
  <c r="G31" i="4"/>
  <c r="J23" i="4"/>
  <c r="I4" i="4"/>
  <c r="K7" i="4"/>
  <c r="G9" i="4"/>
  <c r="I12" i="4"/>
  <c r="K15" i="4"/>
  <c r="G17" i="4"/>
  <c r="I20" i="4"/>
  <c r="K23" i="4"/>
  <c r="G25" i="4"/>
  <c r="I28" i="4"/>
  <c r="K31" i="4"/>
  <c r="G33" i="4"/>
  <c r="I36" i="4"/>
  <c r="K39" i="4"/>
  <c r="G41" i="4"/>
  <c r="I44" i="4"/>
  <c r="K47" i="4"/>
  <c r="G49" i="4"/>
  <c r="I52" i="4"/>
  <c r="K55" i="4"/>
  <c r="G57" i="4"/>
  <c r="I60" i="4"/>
  <c r="K63" i="4"/>
  <c r="L59" i="1"/>
  <c r="L43" i="1"/>
  <c r="L27" i="1"/>
  <c r="L11" i="1"/>
  <c r="D25" i="2"/>
  <c r="D21" i="2"/>
  <c r="D17" i="2"/>
  <c r="D13" i="2"/>
  <c r="D9" i="2"/>
  <c r="D5" i="2"/>
  <c r="E52" i="2"/>
  <c r="E48" i="2"/>
  <c r="E44" i="2"/>
  <c r="E40" i="2"/>
  <c r="E36" i="2"/>
  <c r="E32" i="2"/>
  <c r="E28" i="2"/>
  <c r="E24" i="2"/>
  <c r="E20" i="2"/>
  <c r="E16" i="2"/>
  <c r="E12" i="2"/>
  <c r="E8" i="2"/>
  <c r="E4" i="2"/>
  <c r="F51" i="2"/>
  <c r="F47" i="2"/>
  <c r="F43" i="2"/>
  <c r="F39" i="2"/>
  <c r="F35" i="2"/>
  <c r="F31" i="2"/>
  <c r="G3" i="2"/>
  <c r="G50" i="2"/>
  <c r="G46" i="2"/>
  <c r="G42" i="2"/>
  <c r="G38" i="2"/>
  <c r="G34" i="2"/>
  <c r="G30" i="2"/>
  <c r="G26" i="2"/>
  <c r="G22" i="2"/>
  <c r="G18" i="2"/>
  <c r="G14" i="2"/>
  <c r="G10" i="2"/>
  <c r="G6" i="2"/>
  <c r="H25" i="2"/>
  <c r="H21" i="2"/>
  <c r="H17" i="2"/>
  <c r="H13" i="2"/>
  <c r="H9" i="2"/>
  <c r="H5" i="2"/>
  <c r="I52" i="2"/>
  <c r="I48" i="2"/>
  <c r="I44" i="2"/>
  <c r="I40" i="2"/>
  <c r="I36" i="2"/>
  <c r="I32" i="2"/>
  <c r="I28" i="2"/>
  <c r="I24" i="2"/>
  <c r="I20" i="2"/>
  <c r="I16" i="2"/>
  <c r="I12" i="2"/>
  <c r="I8" i="2"/>
  <c r="I4" i="2"/>
  <c r="J51" i="2"/>
  <c r="J47" i="2"/>
  <c r="J43" i="2"/>
  <c r="J39" i="2"/>
  <c r="J35" i="2"/>
  <c r="J31" i="2"/>
  <c r="K3" i="2"/>
  <c r="K50" i="2"/>
  <c r="K46" i="2"/>
  <c r="K42" i="2"/>
  <c r="K38" i="2"/>
  <c r="K34" i="2"/>
  <c r="K30" i="2"/>
  <c r="K26" i="2"/>
  <c r="K22" i="2"/>
  <c r="K18" i="2"/>
  <c r="K14" i="2"/>
  <c r="K10" i="2"/>
  <c r="K6" i="2"/>
  <c r="L25" i="2"/>
  <c r="L21" i="2"/>
  <c r="L17" i="2"/>
  <c r="L13" i="2"/>
  <c r="L9" i="2"/>
  <c r="L5" i="2"/>
  <c r="J62" i="1"/>
  <c r="I62" i="1"/>
  <c r="L62" i="1"/>
  <c r="H62" i="1"/>
  <c r="J58" i="1"/>
  <c r="I58" i="1"/>
  <c r="L58" i="1"/>
  <c r="H58" i="1"/>
  <c r="J54" i="1"/>
  <c r="I54" i="1"/>
  <c r="L54" i="1"/>
  <c r="H54" i="1"/>
  <c r="J50" i="1"/>
  <c r="I50" i="1"/>
  <c r="L50" i="1"/>
  <c r="H50" i="1"/>
  <c r="G50" i="1"/>
  <c r="J46" i="1"/>
  <c r="I46" i="1"/>
  <c r="L46" i="1"/>
  <c r="H46" i="1"/>
  <c r="G46" i="1"/>
  <c r="J42" i="1"/>
  <c r="I42" i="1"/>
  <c r="L42" i="1"/>
  <c r="H42" i="1"/>
  <c r="G42" i="1"/>
  <c r="J38" i="1"/>
  <c r="I38" i="1"/>
  <c r="L38" i="1"/>
  <c r="H38" i="1"/>
  <c r="G38" i="1"/>
  <c r="J34" i="1"/>
  <c r="I34" i="1"/>
  <c r="L34" i="1"/>
  <c r="H34" i="1"/>
  <c r="G34" i="1"/>
  <c r="J30" i="1"/>
  <c r="I30" i="1"/>
  <c r="L30" i="1"/>
  <c r="H30" i="1"/>
  <c r="G30" i="1"/>
  <c r="J26" i="1"/>
  <c r="I26" i="1"/>
  <c r="L26" i="1"/>
  <c r="H26" i="1"/>
  <c r="G26" i="1"/>
  <c r="J22" i="1"/>
  <c r="I22" i="1"/>
  <c r="L22" i="1"/>
  <c r="H22" i="1"/>
  <c r="G22" i="1"/>
  <c r="J18" i="1"/>
  <c r="I18" i="1"/>
  <c r="L18" i="1"/>
  <c r="H18" i="1"/>
  <c r="G18" i="1"/>
  <c r="J14" i="1"/>
  <c r="I14" i="1"/>
  <c r="L14" i="1"/>
  <c r="H14" i="1"/>
  <c r="G14" i="1"/>
  <c r="J10" i="1"/>
  <c r="I10" i="1"/>
  <c r="L10" i="1"/>
  <c r="H10" i="1"/>
  <c r="G10" i="1"/>
  <c r="J6" i="1"/>
  <c r="I6" i="1"/>
  <c r="L6" i="1"/>
  <c r="H6" i="1"/>
  <c r="G6" i="1"/>
  <c r="D63" i="1"/>
  <c r="D55" i="1"/>
  <c r="D51" i="1"/>
  <c r="D39" i="1"/>
  <c r="D35" i="1"/>
  <c r="D31" i="1"/>
  <c r="D23" i="1"/>
  <c r="D19" i="1"/>
  <c r="D15" i="1"/>
  <c r="D7" i="1"/>
  <c r="F61" i="1"/>
  <c r="F45" i="1"/>
  <c r="F29" i="1"/>
  <c r="F13" i="1"/>
  <c r="G62" i="1"/>
  <c r="G58" i="1"/>
  <c r="G54" i="1"/>
  <c r="K58" i="1"/>
  <c r="K42" i="1"/>
  <c r="K26" i="1"/>
  <c r="K10" i="1"/>
  <c r="L55" i="1"/>
  <c r="L39" i="1"/>
  <c r="L23" i="1"/>
  <c r="L7" i="1"/>
  <c r="D22" i="2"/>
  <c r="D14" i="2"/>
  <c r="D6" i="2"/>
  <c r="F48" i="2"/>
  <c r="F36" i="2"/>
  <c r="H22" i="2"/>
  <c r="H14" i="2"/>
  <c r="H6" i="2"/>
  <c r="J48" i="2"/>
  <c r="J40" i="2"/>
  <c r="J32" i="2"/>
  <c r="L22" i="2"/>
  <c r="L14" i="2"/>
  <c r="L6" i="2"/>
  <c r="K59" i="1"/>
  <c r="J59" i="1"/>
  <c r="I59" i="1"/>
  <c r="K51" i="1"/>
  <c r="J51" i="1"/>
  <c r="I51" i="1"/>
  <c r="K43" i="1"/>
  <c r="J43" i="1"/>
  <c r="I43" i="1"/>
  <c r="K35" i="1"/>
  <c r="J35" i="1"/>
  <c r="I35" i="1"/>
  <c r="K27" i="1"/>
  <c r="J27" i="1"/>
  <c r="I27" i="1"/>
  <c r="K19" i="1"/>
  <c r="J19" i="1"/>
  <c r="I19" i="1"/>
  <c r="K11" i="1"/>
  <c r="J11" i="1"/>
  <c r="I11" i="1"/>
  <c r="G51" i="1"/>
  <c r="D44" i="2"/>
  <c r="D36" i="2"/>
  <c r="D24" i="2"/>
  <c r="D12" i="2"/>
  <c r="D4" i="2"/>
  <c r="F46" i="2"/>
  <c r="F38" i="2"/>
  <c r="F26" i="2"/>
  <c r="F18" i="2"/>
  <c r="F10" i="2"/>
  <c r="H52" i="2"/>
  <c r="H40" i="2"/>
  <c r="H32" i="2"/>
  <c r="H24" i="2"/>
  <c r="H16" i="2"/>
  <c r="H8" i="2"/>
  <c r="J46" i="2"/>
  <c r="J38" i="2"/>
  <c r="J26" i="2"/>
  <c r="J18" i="2"/>
  <c r="J6" i="2"/>
  <c r="K21" i="2"/>
  <c r="L48" i="2"/>
  <c r="L40" i="2"/>
  <c r="L32" i="2"/>
  <c r="L20" i="2"/>
  <c r="L12" i="2"/>
  <c r="L4" i="2"/>
  <c r="I57" i="1"/>
  <c r="L57" i="1"/>
  <c r="H57" i="1"/>
  <c r="K57" i="1"/>
  <c r="I49" i="1"/>
  <c r="L49" i="1"/>
  <c r="H49" i="1"/>
  <c r="G49" i="1"/>
  <c r="K49" i="1"/>
  <c r="I41" i="1"/>
  <c r="L41" i="1"/>
  <c r="H41" i="1"/>
  <c r="G41" i="1"/>
  <c r="K41" i="1"/>
  <c r="I33" i="1"/>
  <c r="L33" i="1"/>
  <c r="H33" i="1"/>
  <c r="G33" i="1"/>
  <c r="K33" i="1"/>
  <c r="I25" i="1"/>
  <c r="L25" i="1"/>
  <c r="H25" i="1"/>
  <c r="G25" i="1"/>
  <c r="K25" i="1"/>
  <c r="I17" i="1"/>
  <c r="L17" i="1"/>
  <c r="H17" i="1"/>
  <c r="G17" i="1"/>
  <c r="K17" i="1"/>
  <c r="I9" i="1"/>
  <c r="L9" i="1"/>
  <c r="H9" i="1"/>
  <c r="G9" i="1"/>
  <c r="K9" i="1"/>
  <c r="E43" i="1"/>
  <c r="E35" i="1"/>
  <c r="E15" i="1"/>
  <c r="G57" i="1"/>
  <c r="H59" i="1"/>
  <c r="J57" i="1"/>
  <c r="J41" i="1"/>
  <c r="J25" i="1"/>
  <c r="J9" i="1"/>
  <c r="L51" i="1"/>
  <c r="L35" i="1"/>
  <c r="L19" i="1"/>
  <c r="K3" i="3"/>
  <c r="G3" i="3"/>
  <c r="L3" i="3"/>
  <c r="J3" i="3"/>
  <c r="D3" i="3"/>
  <c r="I3" i="3"/>
  <c r="H3" i="3"/>
  <c r="F3" i="3"/>
  <c r="E3" i="3"/>
  <c r="I210" i="3"/>
  <c r="H210" i="3"/>
  <c r="J210" i="3"/>
  <c r="L210" i="3"/>
  <c r="G210" i="3"/>
  <c r="K210" i="3"/>
  <c r="D210" i="3"/>
  <c r="F210" i="3"/>
  <c r="I206" i="3"/>
  <c r="G206" i="3"/>
  <c r="H206" i="3"/>
  <c r="L206" i="3"/>
  <c r="J206" i="3"/>
  <c r="K206" i="3"/>
  <c r="D206" i="3"/>
  <c r="F206" i="3"/>
  <c r="E206" i="3"/>
  <c r="I202" i="3"/>
  <c r="G202" i="3"/>
  <c r="H202" i="3"/>
  <c r="J202" i="3"/>
  <c r="L202" i="3"/>
  <c r="K202" i="3"/>
  <c r="D202" i="3"/>
  <c r="F202" i="3"/>
  <c r="E202" i="3"/>
  <c r="I198" i="3"/>
  <c r="G198" i="3"/>
  <c r="H198" i="3"/>
  <c r="L198" i="3"/>
  <c r="J198" i="3"/>
  <c r="K198" i="3"/>
  <c r="D198" i="3"/>
  <c r="F198" i="3"/>
  <c r="I194" i="3"/>
  <c r="G194" i="3"/>
  <c r="H194" i="3"/>
  <c r="K194" i="3"/>
  <c r="L194" i="3"/>
  <c r="D194" i="3"/>
  <c r="F194" i="3"/>
  <c r="E194" i="3"/>
  <c r="I190" i="3"/>
  <c r="G190" i="3"/>
  <c r="H190" i="3"/>
  <c r="J190" i="3"/>
  <c r="L190" i="3"/>
  <c r="D190" i="3"/>
  <c r="K190" i="3"/>
  <c r="F190" i="3"/>
  <c r="G186" i="3"/>
  <c r="I186" i="3"/>
  <c r="H186" i="3"/>
  <c r="J186" i="3"/>
  <c r="K186" i="3"/>
  <c r="F186" i="3"/>
  <c r="D186" i="3"/>
  <c r="L186" i="3"/>
  <c r="E186" i="3"/>
  <c r="G182" i="3"/>
  <c r="I182" i="3"/>
  <c r="H182" i="3"/>
  <c r="J182" i="3"/>
  <c r="L182" i="3"/>
  <c r="D182" i="3"/>
  <c r="F182" i="3"/>
  <c r="K182" i="3"/>
  <c r="G178" i="3"/>
  <c r="I178" i="3"/>
  <c r="H178" i="3"/>
  <c r="J178" i="3"/>
  <c r="K178" i="3"/>
  <c r="L178" i="3"/>
  <c r="D178" i="3"/>
  <c r="F178" i="3"/>
  <c r="E178" i="3"/>
  <c r="G170" i="3"/>
  <c r="I170" i="3"/>
  <c r="H170" i="3"/>
  <c r="J170" i="3"/>
  <c r="K170" i="3"/>
  <c r="F170" i="3"/>
  <c r="D170" i="3"/>
  <c r="L170" i="3"/>
  <c r="E170" i="3"/>
  <c r="G166" i="3"/>
  <c r="I166" i="3"/>
  <c r="H166" i="3"/>
  <c r="J166" i="3"/>
  <c r="L166" i="3"/>
  <c r="D166" i="3"/>
  <c r="F166" i="3"/>
  <c r="G162" i="3"/>
  <c r="I162" i="3"/>
  <c r="H162" i="3"/>
  <c r="J162" i="3"/>
  <c r="K162" i="3"/>
  <c r="L162" i="3"/>
  <c r="D162" i="3"/>
  <c r="F162" i="3"/>
  <c r="E162" i="3"/>
  <c r="G158" i="3"/>
  <c r="I158" i="3"/>
  <c r="H158" i="3"/>
  <c r="J158" i="3"/>
  <c r="L158" i="3"/>
  <c r="D158" i="3"/>
  <c r="K158" i="3"/>
  <c r="G154" i="3"/>
  <c r="I154" i="3"/>
  <c r="H154" i="3"/>
  <c r="J154" i="3"/>
  <c r="K154" i="3"/>
  <c r="F154" i="3"/>
  <c r="D154" i="3"/>
  <c r="L154" i="3"/>
  <c r="E154" i="3"/>
  <c r="G150" i="3"/>
  <c r="I150" i="3"/>
  <c r="H150" i="3"/>
  <c r="J150" i="3"/>
  <c r="L150" i="3"/>
  <c r="D150" i="3"/>
  <c r="F150" i="3"/>
  <c r="K150" i="3"/>
  <c r="G146" i="3"/>
  <c r="I146" i="3"/>
  <c r="H146" i="3"/>
  <c r="J146" i="3"/>
  <c r="K146" i="3"/>
  <c r="L146" i="3"/>
  <c r="D146" i="3"/>
  <c r="F146" i="3"/>
  <c r="E146" i="3"/>
  <c r="G142" i="3"/>
  <c r="I142" i="3"/>
  <c r="H142" i="3"/>
  <c r="J142" i="3"/>
  <c r="L142" i="3"/>
  <c r="D142" i="3"/>
  <c r="K142" i="3"/>
  <c r="F142" i="3"/>
  <c r="G138" i="3"/>
  <c r="I138" i="3"/>
  <c r="H138" i="3"/>
  <c r="J138" i="3"/>
  <c r="K138" i="3"/>
  <c r="F138" i="3"/>
  <c r="D138" i="3"/>
  <c r="L138" i="3"/>
  <c r="E138" i="3"/>
  <c r="G134" i="3"/>
  <c r="I134" i="3"/>
  <c r="H134" i="3"/>
  <c r="J134" i="3"/>
  <c r="L134" i="3"/>
  <c r="D134" i="3"/>
  <c r="F134" i="3"/>
  <c r="K134" i="3"/>
  <c r="G130" i="3"/>
  <c r="I130" i="3"/>
  <c r="H130" i="3"/>
  <c r="J130" i="3"/>
  <c r="K130" i="3"/>
  <c r="L130" i="3"/>
  <c r="D130" i="3"/>
  <c r="F130" i="3"/>
  <c r="E130" i="3"/>
  <c r="G126" i="3"/>
  <c r="I126" i="3"/>
  <c r="H126" i="3"/>
  <c r="J126" i="3"/>
  <c r="L126" i="3"/>
  <c r="D126" i="3"/>
  <c r="K126" i="3"/>
  <c r="F126" i="3"/>
  <c r="G122" i="3"/>
  <c r="I122" i="3"/>
  <c r="H122" i="3"/>
  <c r="J122" i="3"/>
  <c r="K122" i="3"/>
  <c r="L122" i="3"/>
  <c r="F122" i="3"/>
  <c r="D122" i="3"/>
  <c r="E122" i="3"/>
  <c r="G118" i="3"/>
  <c r="I118" i="3"/>
  <c r="H118" i="3"/>
  <c r="J118" i="3"/>
  <c r="L118" i="3"/>
  <c r="K118" i="3"/>
  <c r="D118" i="3"/>
  <c r="F118" i="3"/>
  <c r="G114" i="3"/>
  <c r="I114" i="3"/>
  <c r="H114" i="3"/>
  <c r="J114" i="3"/>
  <c r="L114" i="3"/>
  <c r="K114" i="3"/>
  <c r="D114" i="3"/>
  <c r="F114" i="3"/>
  <c r="E114" i="3"/>
  <c r="G110" i="3"/>
  <c r="I110" i="3"/>
  <c r="H110" i="3"/>
  <c r="J110" i="3"/>
  <c r="L110" i="3"/>
  <c r="K110" i="3"/>
  <c r="D110" i="3"/>
  <c r="F110" i="3"/>
  <c r="G106" i="3"/>
  <c r="I106" i="3"/>
  <c r="J106" i="3"/>
  <c r="L106" i="3"/>
  <c r="H106" i="3"/>
  <c r="K106" i="3"/>
  <c r="F106" i="3"/>
  <c r="D106" i="3"/>
  <c r="E106" i="3"/>
  <c r="G102" i="3"/>
  <c r="I102" i="3"/>
  <c r="H102" i="3"/>
  <c r="J102" i="3"/>
  <c r="L102" i="3"/>
  <c r="K102" i="3"/>
  <c r="D102" i="3"/>
  <c r="F102" i="3"/>
  <c r="G98" i="3"/>
  <c r="I98" i="3"/>
  <c r="J98" i="3"/>
  <c r="L98" i="3"/>
  <c r="K98" i="3"/>
  <c r="D98" i="3"/>
  <c r="F98" i="3"/>
  <c r="H98" i="3"/>
  <c r="E98" i="3"/>
  <c r="G94" i="3"/>
  <c r="I94" i="3"/>
  <c r="H94" i="3"/>
  <c r="J94" i="3"/>
  <c r="L94" i="3"/>
  <c r="K94" i="3"/>
  <c r="D94" i="3"/>
  <c r="G90" i="3"/>
  <c r="I90" i="3"/>
  <c r="J90" i="3"/>
  <c r="L90" i="3"/>
  <c r="H90" i="3"/>
  <c r="K90" i="3"/>
  <c r="F90" i="3"/>
  <c r="D90" i="3"/>
  <c r="E90" i="3"/>
  <c r="G86" i="3"/>
  <c r="I86" i="3"/>
  <c r="J86" i="3"/>
  <c r="H86" i="3"/>
  <c r="L86" i="3"/>
  <c r="K86" i="3"/>
  <c r="D86" i="3"/>
  <c r="F86" i="3"/>
  <c r="G82" i="3"/>
  <c r="I82" i="3"/>
  <c r="H82" i="3"/>
  <c r="J82" i="3"/>
  <c r="L82" i="3"/>
  <c r="K82" i="3"/>
  <c r="D82" i="3"/>
  <c r="F82" i="3"/>
  <c r="E82" i="3"/>
  <c r="G78" i="3"/>
  <c r="I78" i="3"/>
  <c r="J78" i="3"/>
  <c r="H78" i="3"/>
  <c r="L78" i="3"/>
  <c r="K78" i="3"/>
  <c r="D78" i="3"/>
  <c r="F78" i="3"/>
  <c r="G74" i="3"/>
  <c r="I74" i="3"/>
  <c r="H74" i="3"/>
  <c r="J74" i="3"/>
  <c r="L74" i="3"/>
  <c r="K74" i="3"/>
  <c r="F74" i="3"/>
  <c r="D74" i="3"/>
  <c r="E74" i="3"/>
  <c r="G70" i="3"/>
  <c r="I70" i="3"/>
  <c r="H70" i="3"/>
  <c r="J70" i="3"/>
  <c r="L70" i="3"/>
  <c r="K70" i="3"/>
  <c r="D70" i="3"/>
  <c r="F70" i="3"/>
  <c r="G66" i="3"/>
  <c r="I66" i="3"/>
  <c r="H66" i="3"/>
  <c r="L66" i="3"/>
  <c r="J66" i="3"/>
  <c r="K66" i="3"/>
  <c r="D66" i="3"/>
  <c r="F66" i="3"/>
  <c r="E66" i="3"/>
  <c r="G62" i="3"/>
  <c r="I62" i="3"/>
  <c r="H62" i="3"/>
  <c r="J62" i="3"/>
  <c r="L62" i="3"/>
  <c r="K62" i="3"/>
  <c r="D62" i="3"/>
  <c r="F62" i="3"/>
  <c r="G58" i="3"/>
  <c r="I58" i="3"/>
  <c r="H58" i="3"/>
  <c r="J58" i="3"/>
  <c r="L58" i="3"/>
  <c r="K58" i="3"/>
  <c r="F58" i="3"/>
  <c r="D58" i="3"/>
  <c r="E58" i="3"/>
  <c r="G54" i="3"/>
  <c r="I54" i="3"/>
  <c r="H54" i="3"/>
  <c r="J54" i="3"/>
  <c r="L54" i="3"/>
  <c r="K54" i="3"/>
  <c r="D54" i="3"/>
  <c r="F54" i="3"/>
  <c r="E54" i="3"/>
  <c r="G50" i="3"/>
  <c r="I50" i="3"/>
  <c r="H50" i="3"/>
  <c r="J50" i="3"/>
  <c r="L50" i="3"/>
  <c r="K50" i="3"/>
  <c r="D50" i="3"/>
  <c r="E50" i="3"/>
  <c r="F50" i="3"/>
  <c r="G46" i="3"/>
  <c r="I46" i="3"/>
  <c r="H46" i="3"/>
  <c r="J46" i="3"/>
  <c r="L46" i="3"/>
  <c r="K46" i="3"/>
  <c r="D46" i="3"/>
  <c r="E46" i="3"/>
  <c r="F46" i="3"/>
  <c r="G42" i="3"/>
  <c r="I42" i="3"/>
  <c r="H42" i="3"/>
  <c r="J42" i="3"/>
  <c r="L42" i="3"/>
  <c r="K42" i="3"/>
  <c r="F42" i="3"/>
  <c r="D42" i="3"/>
  <c r="E42" i="3"/>
  <c r="G38" i="3"/>
  <c r="I38" i="3"/>
  <c r="H38" i="3"/>
  <c r="J38" i="3"/>
  <c r="L38" i="3"/>
  <c r="K38" i="3"/>
  <c r="D38" i="3"/>
  <c r="F38" i="3"/>
  <c r="E38" i="3"/>
  <c r="G34" i="3"/>
  <c r="I34" i="3"/>
  <c r="H34" i="3"/>
  <c r="K34" i="3"/>
  <c r="L34" i="3"/>
  <c r="J34" i="3"/>
  <c r="D34" i="3"/>
  <c r="E34" i="3"/>
  <c r="F34" i="3"/>
  <c r="G30" i="3"/>
  <c r="I30" i="3"/>
  <c r="H30" i="3"/>
  <c r="J30" i="3"/>
  <c r="K30" i="3"/>
  <c r="L30" i="3"/>
  <c r="D30" i="3"/>
  <c r="E30" i="3"/>
  <c r="G26" i="3"/>
  <c r="I26" i="3"/>
  <c r="H26" i="3"/>
  <c r="J26" i="3"/>
  <c r="K26" i="3"/>
  <c r="L26" i="3"/>
  <c r="F26" i="3"/>
  <c r="D26" i="3"/>
  <c r="E26" i="3"/>
  <c r="G22" i="3"/>
  <c r="I22" i="3"/>
  <c r="H22" i="3"/>
  <c r="J22" i="3"/>
  <c r="K22" i="3"/>
  <c r="L22" i="3"/>
  <c r="D22" i="3"/>
  <c r="F22" i="3"/>
  <c r="E22" i="3"/>
  <c r="G18" i="3"/>
  <c r="I18" i="3"/>
  <c r="H18" i="3"/>
  <c r="J18" i="3"/>
  <c r="K18" i="3"/>
  <c r="L18" i="3"/>
  <c r="D18" i="3"/>
  <c r="E18" i="3"/>
  <c r="F18" i="3"/>
  <c r="G14" i="3"/>
  <c r="I14" i="3"/>
  <c r="H14" i="3"/>
  <c r="J14" i="3"/>
  <c r="K14" i="3"/>
  <c r="L14" i="3"/>
  <c r="D14" i="3"/>
  <c r="E14" i="3"/>
  <c r="F14" i="3"/>
  <c r="G10" i="3"/>
  <c r="I10" i="3"/>
  <c r="H10" i="3"/>
  <c r="J10" i="3"/>
  <c r="K10" i="3"/>
  <c r="F10" i="3"/>
  <c r="D10" i="3"/>
  <c r="L10" i="3"/>
  <c r="E10" i="3"/>
  <c r="G6" i="3"/>
  <c r="I6" i="3"/>
  <c r="H6" i="3"/>
  <c r="J6" i="3"/>
  <c r="K6" i="3"/>
  <c r="L6" i="3"/>
  <c r="D6" i="3"/>
  <c r="F6" i="3"/>
  <c r="E6" i="3"/>
  <c r="E142" i="3"/>
  <c r="E110" i="3"/>
  <c r="E78" i="3"/>
  <c r="F30" i="3"/>
  <c r="K166" i="3"/>
  <c r="D26" i="2"/>
  <c r="D18" i="2"/>
  <c r="D10" i="2"/>
  <c r="F52" i="2"/>
  <c r="F44" i="2"/>
  <c r="F40" i="2"/>
  <c r="F32" i="2"/>
  <c r="H26" i="2"/>
  <c r="H18" i="2"/>
  <c r="H10" i="2"/>
  <c r="J52" i="2"/>
  <c r="J44" i="2"/>
  <c r="J36" i="2"/>
  <c r="L26" i="2"/>
  <c r="L18" i="2"/>
  <c r="L10" i="2"/>
  <c r="K63" i="1"/>
  <c r="J63" i="1"/>
  <c r="I63" i="1"/>
  <c r="K55" i="1"/>
  <c r="J55" i="1"/>
  <c r="I55" i="1"/>
  <c r="K47" i="1"/>
  <c r="J47" i="1"/>
  <c r="I47" i="1"/>
  <c r="K39" i="1"/>
  <c r="J39" i="1"/>
  <c r="I39" i="1"/>
  <c r="K31" i="1"/>
  <c r="J31" i="1"/>
  <c r="I31" i="1"/>
  <c r="K23" i="1"/>
  <c r="J23" i="1"/>
  <c r="I23" i="1"/>
  <c r="K15" i="1"/>
  <c r="J15" i="1"/>
  <c r="I15" i="1"/>
  <c r="K7" i="1"/>
  <c r="J7" i="1"/>
  <c r="I7" i="1"/>
  <c r="G63" i="1"/>
  <c r="G59" i="1"/>
  <c r="G55" i="1"/>
  <c r="G43" i="1"/>
  <c r="G35" i="1"/>
  <c r="G27" i="1"/>
  <c r="G19" i="1"/>
  <c r="G11" i="1"/>
  <c r="H55" i="1"/>
  <c r="H39" i="1"/>
  <c r="H23" i="1"/>
  <c r="H7" i="1"/>
  <c r="D52" i="2"/>
  <c r="D48" i="2"/>
  <c r="D40" i="2"/>
  <c r="D32" i="2"/>
  <c r="D28" i="2"/>
  <c r="D20" i="2"/>
  <c r="D16" i="2"/>
  <c r="D8" i="2"/>
  <c r="F50" i="2"/>
  <c r="F42" i="2"/>
  <c r="F34" i="2"/>
  <c r="F30" i="2"/>
  <c r="F22" i="2"/>
  <c r="F14" i="2"/>
  <c r="F6" i="2"/>
  <c r="H48" i="2"/>
  <c r="H44" i="2"/>
  <c r="H36" i="2"/>
  <c r="H28" i="2"/>
  <c r="H20" i="2"/>
  <c r="H12" i="2"/>
  <c r="H4" i="2"/>
  <c r="J50" i="2"/>
  <c r="J42" i="2"/>
  <c r="J34" i="2"/>
  <c r="J30" i="2"/>
  <c r="J22" i="2"/>
  <c r="J14" i="2"/>
  <c r="J10" i="2"/>
  <c r="K25" i="2"/>
  <c r="K17" i="2"/>
  <c r="L52" i="2"/>
  <c r="L44" i="2"/>
  <c r="L36" i="2"/>
  <c r="L28" i="2"/>
  <c r="L24" i="2"/>
  <c r="L16" i="2"/>
  <c r="L8" i="2"/>
  <c r="I61" i="1"/>
  <c r="L61" i="1"/>
  <c r="H61" i="1"/>
  <c r="K61" i="1"/>
  <c r="I53" i="1"/>
  <c r="L53" i="1"/>
  <c r="H53" i="1"/>
  <c r="K53" i="1"/>
  <c r="I45" i="1"/>
  <c r="L45" i="1"/>
  <c r="H45" i="1"/>
  <c r="G45" i="1"/>
  <c r="K45" i="1"/>
  <c r="I37" i="1"/>
  <c r="L37" i="1"/>
  <c r="H37" i="1"/>
  <c r="G37" i="1"/>
  <c r="K37" i="1"/>
  <c r="I29" i="1"/>
  <c r="L29" i="1"/>
  <c r="H29" i="1"/>
  <c r="G29" i="1"/>
  <c r="K29" i="1"/>
  <c r="I21" i="1"/>
  <c r="L21" i="1"/>
  <c r="H21" i="1"/>
  <c r="G21" i="1"/>
  <c r="K21" i="1"/>
  <c r="I13" i="1"/>
  <c r="L13" i="1"/>
  <c r="H13" i="1"/>
  <c r="G13" i="1"/>
  <c r="K13" i="1"/>
  <c r="I5" i="1"/>
  <c r="L5" i="1"/>
  <c r="H5" i="1"/>
  <c r="G5" i="1"/>
  <c r="K5" i="1"/>
  <c r="E59" i="1"/>
  <c r="E51" i="1"/>
  <c r="E47" i="1"/>
  <c r="E39" i="1"/>
  <c r="E31" i="1"/>
  <c r="E27" i="1"/>
  <c r="E19" i="1"/>
  <c r="E11" i="1"/>
  <c r="G61" i="1"/>
  <c r="G53" i="1"/>
  <c r="G47" i="1"/>
  <c r="G31" i="1"/>
  <c r="G23" i="1"/>
  <c r="G7" i="1"/>
  <c r="H47" i="1"/>
  <c r="H15" i="1"/>
  <c r="G174" i="3"/>
  <c r="I174" i="3"/>
  <c r="H174" i="3"/>
  <c r="J174" i="3"/>
  <c r="L174" i="3"/>
  <c r="D174" i="3"/>
  <c r="K174" i="3"/>
  <c r="F174" i="3"/>
  <c r="D51" i="2"/>
  <c r="D47" i="2"/>
  <c r="D43" i="2"/>
  <c r="D39" i="2"/>
  <c r="D35" i="2"/>
  <c r="D31" i="2"/>
  <c r="D27" i="2"/>
  <c r="D23" i="2"/>
  <c r="D19" i="2"/>
  <c r="D15" i="2"/>
  <c r="D11" i="2"/>
  <c r="D7" i="2"/>
  <c r="E3" i="2"/>
  <c r="E50" i="2"/>
  <c r="E46" i="2"/>
  <c r="E42" i="2"/>
  <c r="E38" i="2"/>
  <c r="E34" i="2"/>
  <c r="E30" i="2"/>
  <c r="E26" i="2"/>
  <c r="E22" i="2"/>
  <c r="E18" i="2"/>
  <c r="E14" i="2"/>
  <c r="E10" i="2"/>
  <c r="E6" i="2"/>
  <c r="F53" i="2"/>
  <c r="F49" i="2"/>
  <c r="F45" i="2"/>
  <c r="F41" i="2"/>
  <c r="F37" i="2"/>
  <c r="F33" i="2"/>
  <c r="F29" i="2"/>
  <c r="F25" i="2"/>
  <c r="F21" i="2"/>
  <c r="F17" i="2"/>
  <c r="F13" i="2"/>
  <c r="F9" i="2"/>
  <c r="F5" i="2"/>
  <c r="G52" i="2"/>
  <c r="G48" i="2"/>
  <c r="G44" i="2"/>
  <c r="G40" i="2"/>
  <c r="G36" i="2"/>
  <c r="G32" i="2"/>
  <c r="G28" i="2"/>
  <c r="G24" i="2"/>
  <c r="G20" i="2"/>
  <c r="G16" i="2"/>
  <c r="G12" i="2"/>
  <c r="G8" i="2"/>
  <c r="G4" i="2"/>
  <c r="H51" i="2"/>
  <c r="H47" i="2"/>
  <c r="H43" i="2"/>
  <c r="H39" i="2"/>
  <c r="H35" i="2"/>
  <c r="H31" i="2"/>
  <c r="H27" i="2"/>
  <c r="H23" i="2"/>
  <c r="H19" i="2"/>
  <c r="H15" i="2"/>
  <c r="H11" i="2"/>
  <c r="H7" i="2"/>
  <c r="L3" i="1"/>
  <c r="K3" i="1"/>
  <c r="J3" i="1"/>
  <c r="L60" i="1"/>
  <c r="K60" i="1"/>
  <c r="J60" i="1"/>
  <c r="L56" i="1"/>
  <c r="K56" i="1"/>
  <c r="J56" i="1"/>
  <c r="L52" i="1"/>
  <c r="H52" i="1"/>
  <c r="K52" i="1"/>
  <c r="J52" i="1"/>
  <c r="L48" i="1"/>
  <c r="H48" i="1"/>
  <c r="K48" i="1"/>
  <c r="J48" i="1"/>
  <c r="L44" i="1"/>
  <c r="H44" i="1"/>
  <c r="K44" i="1"/>
  <c r="J44" i="1"/>
  <c r="L40" i="1"/>
  <c r="H40" i="1"/>
  <c r="K40" i="1"/>
  <c r="J40" i="1"/>
  <c r="L36" i="1"/>
  <c r="H36" i="1"/>
  <c r="K36" i="1"/>
  <c r="J36" i="1"/>
  <c r="L32" i="1"/>
  <c r="H32" i="1"/>
  <c r="K32" i="1"/>
  <c r="J32" i="1"/>
  <c r="L28" i="1"/>
  <c r="H28" i="1"/>
  <c r="K28" i="1"/>
  <c r="J28" i="1"/>
  <c r="L24" i="1"/>
  <c r="H24" i="1"/>
  <c r="K24" i="1"/>
  <c r="J24" i="1"/>
  <c r="L20" i="1"/>
  <c r="H20" i="1"/>
  <c r="K20" i="1"/>
  <c r="J20" i="1"/>
  <c r="L16" i="1"/>
  <c r="H16" i="1"/>
  <c r="K16" i="1"/>
  <c r="J16" i="1"/>
  <c r="L12" i="1"/>
  <c r="H12" i="1"/>
  <c r="K12" i="1"/>
  <c r="J12" i="1"/>
  <c r="L8" i="1"/>
  <c r="H8" i="1"/>
  <c r="K8" i="1"/>
  <c r="J8" i="1"/>
  <c r="L4" i="1"/>
  <c r="H4" i="1"/>
  <c r="K4" i="1"/>
  <c r="J4" i="1"/>
  <c r="D61" i="1"/>
  <c r="D57" i="1"/>
  <c r="D53" i="1"/>
  <c r="D49" i="1"/>
  <c r="D45" i="1"/>
  <c r="D41" i="1"/>
  <c r="D37" i="1"/>
  <c r="D33" i="1"/>
  <c r="D29" i="1"/>
  <c r="D25" i="1"/>
  <c r="D21" i="1"/>
  <c r="D17" i="1"/>
  <c r="D13" i="1"/>
  <c r="D9" i="1"/>
  <c r="D5" i="1"/>
  <c r="E62" i="1"/>
  <c r="E58" i="1"/>
  <c r="E54" i="1"/>
  <c r="E50" i="1"/>
  <c r="E46" i="1"/>
  <c r="E42" i="1"/>
  <c r="E38" i="1"/>
  <c r="E34" i="1"/>
  <c r="E30" i="1"/>
  <c r="E26" i="1"/>
  <c r="E22" i="1"/>
  <c r="E18" i="1"/>
  <c r="E14" i="1"/>
  <c r="E10" i="1"/>
  <c r="E6" i="1"/>
  <c r="F63" i="1"/>
  <c r="F59" i="1"/>
  <c r="F55" i="1"/>
  <c r="F51" i="1"/>
  <c r="F47" i="1"/>
  <c r="F43" i="1"/>
  <c r="F39" i="1"/>
  <c r="F35" i="1"/>
  <c r="F31" i="1"/>
  <c r="F27" i="1"/>
  <c r="F23" i="1"/>
  <c r="F19" i="1"/>
  <c r="F15" i="1"/>
  <c r="F11" i="1"/>
  <c r="F7" i="1"/>
  <c r="G3" i="1"/>
  <c r="G60" i="1"/>
  <c r="G56" i="1"/>
  <c r="G52" i="1"/>
  <c r="G44" i="1"/>
  <c r="G36" i="1"/>
  <c r="G28" i="1"/>
  <c r="G20" i="1"/>
  <c r="G12" i="1"/>
  <c r="G4" i="1"/>
  <c r="H56" i="1"/>
  <c r="H43" i="1"/>
  <c r="H27" i="1"/>
  <c r="H11" i="1"/>
  <c r="I56" i="1"/>
  <c r="I40" i="1"/>
  <c r="I24" i="1"/>
  <c r="I8" i="1"/>
  <c r="J53" i="1"/>
  <c r="J37" i="1"/>
  <c r="J21" i="1"/>
  <c r="J5" i="1"/>
  <c r="K50" i="1"/>
  <c r="K34" i="1"/>
  <c r="K18" i="1"/>
  <c r="L63" i="1"/>
  <c r="L47" i="1"/>
  <c r="L31" i="1"/>
  <c r="L15" i="1"/>
  <c r="E210" i="3"/>
  <c r="E198" i="3"/>
  <c r="E166" i="3"/>
  <c r="E134" i="3"/>
  <c r="E102" i="3"/>
  <c r="E70" i="3"/>
  <c r="F94" i="3"/>
  <c r="J194" i="3"/>
  <c r="I213" i="3"/>
  <c r="J213" i="3"/>
  <c r="G213" i="3"/>
  <c r="H213" i="3"/>
  <c r="E213" i="3"/>
  <c r="F213" i="3"/>
  <c r="K213" i="3"/>
  <c r="I209" i="3"/>
  <c r="J209" i="3"/>
  <c r="G209" i="3"/>
  <c r="E209" i="3"/>
  <c r="F209" i="3"/>
  <c r="H209" i="3"/>
  <c r="K209" i="3"/>
  <c r="I205" i="3"/>
  <c r="J205" i="3"/>
  <c r="G205" i="3"/>
  <c r="E205" i="3"/>
  <c r="H205" i="3"/>
  <c r="F205" i="3"/>
  <c r="K205" i="3"/>
  <c r="I201" i="3"/>
  <c r="J201" i="3"/>
  <c r="G201" i="3"/>
  <c r="H201" i="3"/>
  <c r="E201" i="3"/>
  <c r="F201" i="3"/>
  <c r="K201" i="3"/>
  <c r="I197" i="3"/>
  <c r="J197" i="3"/>
  <c r="G197" i="3"/>
  <c r="H197" i="3"/>
  <c r="E197" i="3"/>
  <c r="F197" i="3"/>
  <c r="K197" i="3"/>
  <c r="I193" i="3"/>
  <c r="J193" i="3"/>
  <c r="L193" i="3"/>
  <c r="G193" i="3"/>
  <c r="H193" i="3"/>
  <c r="K193" i="3"/>
  <c r="E193" i="3"/>
  <c r="F193" i="3"/>
  <c r="G189" i="3"/>
  <c r="I189" i="3"/>
  <c r="J189" i="3"/>
  <c r="L189" i="3"/>
  <c r="K189" i="3"/>
  <c r="E189" i="3"/>
  <c r="H189" i="3"/>
  <c r="F189" i="3"/>
  <c r="G185" i="3"/>
  <c r="I185" i="3"/>
  <c r="J185" i="3"/>
  <c r="L185" i="3"/>
  <c r="H185" i="3"/>
  <c r="K185" i="3"/>
  <c r="E185" i="3"/>
  <c r="G181" i="3"/>
  <c r="I181" i="3"/>
  <c r="J181" i="3"/>
  <c r="L181" i="3"/>
  <c r="F181" i="3"/>
  <c r="E181" i="3"/>
  <c r="H181" i="3"/>
  <c r="K181" i="3"/>
  <c r="G177" i="3"/>
  <c r="I177" i="3"/>
  <c r="J177" i="3"/>
  <c r="L177" i="3"/>
  <c r="H177" i="3"/>
  <c r="K177" i="3"/>
  <c r="E177" i="3"/>
  <c r="F177" i="3"/>
  <c r="G173" i="3"/>
  <c r="I173" i="3"/>
  <c r="J173" i="3"/>
  <c r="L173" i="3"/>
  <c r="H173" i="3"/>
  <c r="K173" i="3"/>
  <c r="E173" i="3"/>
  <c r="F173" i="3"/>
  <c r="G169" i="3"/>
  <c r="I169" i="3"/>
  <c r="J169" i="3"/>
  <c r="L169" i="3"/>
  <c r="H169" i="3"/>
  <c r="K169" i="3"/>
  <c r="E169" i="3"/>
  <c r="G165" i="3"/>
  <c r="I165" i="3"/>
  <c r="J165" i="3"/>
  <c r="L165" i="3"/>
  <c r="F165" i="3"/>
  <c r="E165" i="3"/>
  <c r="K165" i="3"/>
  <c r="G161" i="3"/>
  <c r="I161" i="3"/>
  <c r="J161" i="3"/>
  <c r="L161" i="3"/>
  <c r="H161" i="3"/>
  <c r="K161" i="3"/>
  <c r="E161" i="3"/>
  <c r="F161" i="3"/>
  <c r="G157" i="3"/>
  <c r="I157" i="3"/>
  <c r="J157" i="3"/>
  <c r="L157" i="3"/>
  <c r="K157" i="3"/>
  <c r="E157" i="3"/>
  <c r="H157" i="3"/>
  <c r="F157" i="3"/>
  <c r="G153" i="3"/>
  <c r="I153" i="3"/>
  <c r="J153" i="3"/>
  <c r="L153" i="3"/>
  <c r="H153" i="3"/>
  <c r="K153" i="3"/>
  <c r="E153" i="3"/>
  <c r="G149" i="3"/>
  <c r="I149" i="3"/>
  <c r="J149" i="3"/>
  <c r="L149" i="3"/>
  <c r="F149" i="3"/>
  <c r="E149" i="3"/>
  <c r="H149" i="3"/>
  <c r="K149" i="3"/>
  <c r="G145" i="3"/>
  <c r="I145" i="3"/>
  <c r="J145" i="3"/>
  <c r="L145" i="3"/>
  <c r="H145" i="3"/>
  <c r="K145" i="3"/>
  <c r="E145" i="3"/>
  <c r="F145" i="3"/>
  <c r="G141" i="3"/>
  <c r="I141" i="3"/>
  <c r="J141" i="3"/>
  <c r="L141" i="3"/>
  <c r="H141" i="3"/>
  <c r="K141" i="3"/>
  <c r="E141" i="3"/>
  <c r="F141" i="3"/>
  <c r="G137" i="3"/>
  <c r="I137" i="3"/>
  <c r="J137" i="3"/>
  <c r="L137" i="3"/>
  <c r="H137" i="3"/>
  <c r="K137" i="3"/>
  <c r="E137" i="3"/>
  <c r="G133" i="3"/>
  <c r="I133" i="3"/>
  <c r="J133" i="3"/>
  <c r="L133" i="3"/>
  <c r="F133" i="3"/>
  <c r="E133" i="3"/>
  <c r="K133" i="3"/>
  <c r="G129" i="3"/>
  <c r="I129" i="3"/>
  <c r="J129" i="3"/>
  <c r="L129" i="3"/>
  <c r="H129" i="3"/>
  <c r="K129" i="3"/>
  <c r="E129" i="3"/>
  <c r="F129" i="3"/>
  <c r="G125" i="3"/>
  <c r="I125" i="3"/>
  <c r="J125" i="3"/>
  <c r="L125" i="3"/>
  <c r="K125" i="3"/>
  <c r="E125" i="3"/>
  <c r="H125" i="3"/>
  <c r="F125" i="3"/>
  <c r="G121" i="3"/>
  <c r="I121" i="3"/>
  <c r="J121" i="3"/>
  <c r="L121" i="3"/>
  <c r="H121" i="3"/>
  <c r="K121" i="3"/>
  <c r="E121" i="3"/>
  <c r="G117" i="3"/>
  <c r="I117" i="3"/>
  <c r="J117" i="3"/>
  <c r="L117" i="3"/>
  <c r="F117" i="3"/>
  <c r="E117" i="3"/>
  <c r="H117" i="3"/>
  <c r="K117" i="3"/>
  <c r="G113" i="3"/>
  <c r="I113" i="3"/>
  <c r="J113" i="3"/>
  <c r="L113" i="3"/>
  <c r="H113" i="3"/>
  <c r="E113" i="3"/>
  <c r="K113" i="3"/>
  <c r="F113" i="3"/>
  <c r="G109" i="3"/>
  <c r="J109" i="3"/>
  <c r="H109" i="3"/>
  <c r="I109" i="3"/>
  <c r="L109" i="3"/>
  <c r="K109" i="3"/>
  <c r="E109" i="3"/>
  <c r="F109" i="3"/>
  <c r="G105" i="3"/>
  <c r="J105" i="3"/>
  <c r="H105" i="3"/>
  <c r="L105" i="3"/>
  <c r="I105" i="3"/>
  <c r="E105" i="3"/>
  <c r="G101" i="3"/>
  <c r="J101" i="3"/>
  <c r="H101" i="3"/>
  <c r="I101" i="3"/>
  <c r="L101" i="3"/>
  <c r="F101" i="3"/>
  <c r="E101" i="3"/>
  <c r="K101" i="3"/>
  <c r="G97" i="3"/>
  <c r="J97" i="3"/>
  <c r="H97" i="3"/>
  <c r="L97" i="3"/>
  <c r="I97" i="3"/>
  <c r="E97" i="3"/>
  <c r="K97" i="3"/>
  <c r="F97" i="3"/>
  <c r="G93" i="3"/>
  <c r="J93" i="3"/>
  <c r="H93" i="3"/>
  <c r="I93" i="3"/>
  <c r="L93" i="3"/>
  <c r="K93" i="3"/>
  <c r="E93" i="3"/>
  <c r="F93" i="3"/>
  <c r="G89" i="3"/>
  <c r="J89" i="3"/>
  <c r="H89" i="3"/>
  <c r="L89" i="3"/>
  <c r="I89" i="3"/>
  <c r="E89" i="3"/>
  <c r="G85" i="3"/>
  <c r="H85" i="3"/>
  <c r="J85" i="3"/>
  <c r="L85" i="3"/>
  <c r="I85" i="3"/>
  <c r="F85" i="3"/>
  <c r="E85" i="3"/>
  <c r="K85" i="3"/>
  <c r="G81" i="3"/>
  <c r="H81" i="3"/>
  <c r="I81" i="3"/>
  <c r="L81" i="3"/>
  <c r="J81" i="3"/>
  <c r="E81" i="3"/>
  <c r="K81" i="3"/>
  <c r="F81" i="3"/>
  <c r="G77" i="3"/>
  <c r="H77" i="3"/>
  <c r="J77" i="3"/>
  <c r="I77" i="3"/>
  <c r="L77" i="3"/>
  <c r="K77" i="3"/>
  <c r="E77" i="3"/>
  <c r="F77" i="3"/>
  <c r="G73" i="3"/>
  <c r="J73" i="3"/>
  <c r="H73" i="3"/>
  <c r="I73" i="3"/>
  <c r="L73" i="3"/>
  <c r="E73" i="3"/>
  <c r="G69" i="3"/>
  <c r="J69" i="3"/>
  <c r="H69" i="3"/>
  <c r="L69" i="3"/>
  <c r="I69" i="3"/>
  <c r="F69" i="3"/>
  <c r="E69" i="3"/>
  <c r="K69" i="3"/>
  <c r="G65" i="3"/>
  <c r="J65" i="3"/>
  <c r="H65" i="3"/>
  <c r="I65" i="3"/>
  <c r="L65" i="3"/>
  <c r="E65" i="3"/>
  <c r="K65" i="3"/>
  <c r="F65" i="3"/>
  <c r="G61" i="3"/>
  <c r="J61" i="3"/>
  <c r="H61" i="3"/>
  <c r="L61" i="3"/>
  <c r="I61" i="3"/>
  <c r="K61" i="3"/>
  <c r="E61" i="3"/>
  <c r="F61" i="3"/>
  <c r="G57" i="3"/>
  <c r="J57" i="3"/>
  <c r="H57" i="3"/>
  <c r="I57" i="3"/>
  <c r="L57" i="3"/>
  <c r="E57" i="3"/>
  <c r="G53" i="3"/>
  <c r="J53" i="3"/>
  <c r="H53" i="3"/>
  <c r="L53" i="3"/>
  <c r="I53" i="3"/>
  <c r="F53" i="3"/>
  <c r="E53" i="3"/>
  <c r="K53" i="3"/>
  <c r="G49" i="3"/>
  <c r="J49" i="3"/>
  <c r="H49" i="3"/>
  <c r="I49" i="3"/>
  <c r="L49" i="3"/>
  <c r="E49" i="3"/>
  <c r="K49" i="3"/>
  <c r="F49" i="3"/>
  <c r="G45" i="3"/>
  <c r="J45" i="3"/>
  <c r="H45" i="3"/>
  <c r="L45" i="3"/>
  <c r="I45" i="3"/>
  <c r="K45" i="3"/>
  <c r="E45" i="3"/>
  <c r="F45" i="3"/>
  <c r="G41" i="3"/>
  <c r="J41" i="3"/>
  <c r="H41" i="3"/>
  <c r="I41" i="3"/>
  <c r="L41" i="3"/>
  <c r="E41" i="3"/>
  <c r="G37" i="3"/>
  <c r="J37" i="3"/>
  <c r="H37" i="3"/>
  <c r="I37" i="3"/>
  <c r="L37" i="3"/>
  <c r="F37" i="3"/>
  <c r="E37" i="3"/>
  <c r="K37" i="3"/>
  <c r="G33" i="3"/>
  <c r="J33" i="3"/>
  <c r="H33" i="3"/>
  <c r="K33" i="3"/>
  <c r="I33" i="3"/>
  <c r="L33" i="3"/>
  <c r="E33" i="3"/>
  <c r="F33" i="3"/>
  <c r="G29" i="3"/>
  <c r="J29" i="3"/>
  <c r="H29" i="3"/>
  <c r="K29" i="3"/>
  <c r="I29" i="3"/>
  <c r="L29" i="3"/>
  <c r="E29" i="3"/>
  <c r="F29" i="3"/>
  <c r="G25" i="3"/>
  <c r="J25" i="3"/>
  <c r="H25" i="3"/>
  <c r="K25" i="3"/>
  <c r="I25" i="3"/>
  <c r="L25" i="3"/>
  <c r="E25" i="3"/>
  <c r="G21" i="3"/>
  <c r="J21" i="3"/>
  <c r="H21" i="3"/>
  <c r="K21" i="3"/>
  <c r="I21" i="3"/>
  <c r="F21" i="3"/>
  <c r="E21" i="3"/>
  <c r="G17" i="3"/>
  <c r="J17" i="3"/>
  <c r="H17" i="3"/>
  <c r="K17" i="3"/>
  <c r="I17" i="3"/>
  <c r="L17" i="3"/>
  <c r="E17" i="3"/>
  <c r="F17" i="3"/>
  <c r="G13" i="3"/>
  <c r="J13" i="3"/>
  <c r="H13" i="3"/>
  <c r="K13" i="3"/>
  <c r="I13" i="3"/>
  <c r="L13" i="3"/>
  <c r="E13" i="3"/>
  <c r="F13" i="3"/>
  <c r="G9" i="3"/>
  <c r="J9" i="3"/>
  <c r="H9" i="3"/>
  <c r="K9" i="3"/>
  <c r="I9" i="3"/>
  <c r="L9" i="3"/>
  <c r="E9" i="3"/>
  <c r="G5" i="3"/>
  <c r="J5" i="3"/>
  <c r="H5" i="3"/>
  <c r="K5" i="3"/>
  <c r="I5" i="3"/>
  <c r="L5" i="3"/>
  <c r="F5" i="3"/>
  <c r="E5" i="3"/>
  <c r="D205" i="3"/>
  <c r="D189" i="3"/>
  <c r="D173" i="3"/>
  <c r="D157" i="3"/>
  <c r="D141" i="3"/>
  <c r="D125" i="3"/>
  <c r="D109" i="3"/>
  <c r="D93" i="3"/>
  <c r="D77" i="3"/>
  <c r="D61" i="3"/>
  <c r="D45" i="3"/>
  <c r="D29" i="3"/>
  <c r="D13" i="3"/>
  <c r="E132" i="3"/>
  <c r="E68" i="3"/>
  <c r="F153" i="3"/>
  <c r="F89" i="3"/>
  <c r="F25" i="3"/>
  <c r="L201" i="3"/>
  <c r="K105" i="3"/>
  <c r="K41" i="3"/>
  <c r="H165" i="3"/>
  <c r="I212" i="3"/>
  <c r="H212" i="3"/>
  <c r="L212" i="3"/>
  <c r="J212" i="3"/>
  <c r="K212" i="3"/>
  <c r="F212" i="3"/>
  <c r="I208" i="3"/>
  <c r="H208" i="3"/>
  <c r="G208" i="3"/>
  <c r="L208" i="3"/>
  <c r="J208" i="3"/>
  <c r="K208" i="3"/>
  <c r="F208" i="3"/>
  <c r="I204" i="3"/>
  <c r="H204" i="3"/>
  <c r="J204" i="3"/>
  <c r="L204" i="3"/>
  <c r="G204" i="3"/>
  <c r="K204" i="3"/>
  <c r="F204" i="3"/>
  <c r="I200" i="3"/>
  <c r="H200" i="3"/>
  <c r="J200" i="3"/>
  <c r="L200" i="3"/>
  <c r="K200" i="3"/>
  <c r="G200" i="3"/>
  <c r="F200" i="3"/>
  <c r="I196" i="3"/>
  <c r="H196" i="3"/>
  <c r="J196" i="3"/>
  <c r="L196" i="3"/>
  <c r="G196" i="3"/>
  <c r="K196" i="3"/>
  <c r="F196" i="3"/>
  <c r="I192" i="3"/>
  <c r="H192" i="3"/>
  <c r="J192" i="3"/>
  <c r="G192" i="3"/>
  <c r="F192" i="3"/>
  <c r="K192" i="3"/>
  <c r="G188" i="3"/>
  <c r="I188" i="3"/>
  <c r="H188" i="3"/>
  <c r="J188" i="3"/>
  <c r="L188" i="3"/>
  <c r="K188" i="3"/>
  <c r="F188" i="3"/>
  <c r="G184" i="3"/>
  <c r="I184" i="3"/>
  <c r="H184" i="3"/>
  <c r="J184" i="3"/>
  <c r="K184" i="3"/>
  <c r="L184" i="3"/>
  <c r="F184" i="3"/>
  <c r="G180" i="3"/>
  <c r="I180" i="3"/>
  <c r="H180" i="3"/>
  <c r="J180" i="3"/>
  <c r="L180" i="3"/>
  <c r="K180" i="3"/>
  <c r="G176" i="3"/>
  <c r="I176" i="3"/>
  <c r="H176" i="3"/>
  <c r="J176" i="3"/>
  <c r="F176" i="3"/>
  <c r="K176" i="3"/>
  <c r="G172" i="3"/>
  <c r="I172" i="3"/>
  <c r="H172" i="3"/>
  <c r="J172" i="3"/>
  <c r="L172" i="3"/>
  <c r="K172" i="3"/>
  <c r="F172" i="3"/>
  <c r="G168" i="3"/>
  <c r="I168" i="3"/>
  <c r="H168" i="3"/>
  <c r="J168" i="3"/>
  <c r="K168" i="3"/>
  <c r="L168" i="3"/>
  <c r="F168" i="3"/>
  <c r="G164" i="3"/>
  <c r="I164" i="3"/>
  <c r="H164" i="3"/>
  <c r="J164" i="3"/>
  <c r="L164" i="3"/>
  <c r="K164" i="3"/>
  <c r="G160" i="3"/>
  <c r="I160" i="3"/>
  <c r="H160" i="3"/>
  <c r="J160" i="3"/>
  <c r="F160" i="3"/>
  <c r="K160" i="3"/>
  <c r="G156" i="3"/>
  <c r="I156" i="3"/>
  <c r="H156" i="3"/>
  <c r="J156" i="3"/>
  <c r="L156" i="3"/>
  <c r="K156" i="3"/>
  <c r="F156" i="3"/>
  <c r="G152" i="3"/>
  <c r="I152" i="3"/>
  <c r="H152" i="3"/>
  <c r="J152" i="3"/>
  <c r="K152" i="3"/>
  <c r="L152" i="3"/>
  <c r="F152" i="3"/>
  <c r="G148" i="3"/>
  <c r="I148" i="3"/>
  <c r="H148" i="3"/>
  <c r="J148" i="3"/>
  <c r="L148" i="3"/>
  <c r="K148" i="3"/>
  <c r="G144" i="3"/>
  <c r="I144" i="3"/>
  <c r="H144" i="3"/>
  <c r="J144" i="3"/>
  <c r="F144" i="3"/>
  <c r="K144" i="3"/>
  <c r="G140" i="3"/>
  <c r="I140" i="3"/>
  <c r="H140" i="3"/>
  <c r="J140" i="3"/>
  <c r="L140" i="3"/>
  <c r="K140" i="3"/>
  <c r="F140" i="3"/>
  <c r="G136" i="3"/>
  <c r="I136" i="3"/>
  <c r="H136" i="3"/>
  <c r="J136" i="3"/>
  <c r="K136" i="3"/>
  <c r="L136" i="3"/>
  <c r="F136" i="3"/>
  <c r="G132" i="3"/>
  <c r="I132" i="3"/>
  <c r="H132" i="3"/>
  <c r="J132" i="3"/>
  <c r="L132" i="3"/>
  <c r="K132" i="3"/>
  <c r="G128" i="3"/>
  <c r="I128" i="3"/>
  <c r="H128" i="3"/>
  <c r="J128" i="3"/>
  <c r="F128" i="3"/>
  <c r="K128" i="3"/>
  <c r="G124" i="3"/>
  <c r="I124" i="3"/>
  <c r="H124" i="3"/>
  <c r="J124" i="3"/>
  <c r="L124" i="3"/>
  <c r="K124" i="3"/>
  <c r="F124" i="3"/>
  <c r="G120" i="3"/>
  <c r="I120" i="3"/>
  <c r="H120" i="3"/>
  <c r="J120" i="3"/>
  <c r="K120" i="3"/>
  <c r="F120" i="3"/>
  <c r="G116" i="3"/>
  <c r="I116" i="3"/>
  <c r="H116" i="3"/>
  <c r="J116" i="3"/>
  <c r="L116" i="3"/>
  <c r="K116" i="3"/>
  <c r="G112" i="3"/>
  <c r="I112" i="3"/>
  <c r="H112" i="3"/>
  <c r="J112" i="3"/>
  <c r="L112" i="3"/>
  <c r="K112" i="3"/>
  <c r="F112" i="3"/>
  <c r="G108" i="3"/>
  <c r="I108" i="3"/>
  <c r="H108" i="3"/>
  <c r="L108" i="3"/>
  <c r="K108" i="3"/>
  <c r="J108" i="3"/>
  <c r="F108" i="3"/>
  <c r="G104" i="3"/>
  <c r="I104" i="3"/>
  <c r="H104" i="3"/>
  <c r="J104" i="3"/>
  <c r="L104" i="3"/>
  <c r="K104" i="3"/>
  <c r="F104" i="3"/>
  <c r="G100" i="3"/>
  <c r="I100" i="3"/>
  <c r="H100" i="3"/>
  <c r="L100" i="3"/>
  <c r="K100" i="3"/>
  <c r="J100" i="3"/>
  <c r="G96" i="3"/>
  <c r="I96" i="3"/>
  <c r="H96" i="3"/>
  <c r="J96" i="3"/>
  <c r="L96" i="3"/>
  <c r="K96" i="3"/>
  <c r="F96" i="3"/>
  <c r="G92" i="3"/>
  <c r="I92" i="3"/>
  <c r="H92" i="3"/>
  <c r="L92" i="3"/>
  <c r="J92" i="3"/>
  <c r="K92" i="3"/>
  <c r="F92" i="3"/>
  <c r="G88" i="3"/>
  <c r="I88" i="3"/>
  <c r="H88" i="3"/>
  <c r="J88" i="3"/>
  <c r="L88" i="3"/>
  <c r="K88" i="3"/>
  <c r="F88" i="3"/>
  <c r="G84" i="3"/>
  <c r="J84" i="3"/>
  <c r="H84" i="3"/>
  <c r="I84" i="3"/>
  <c r="L84" i="3"/>
  <c r="K84" i="3"/>
  <c r="G80" i="3"/>
  <c r="I80" i="3"/>
  <c r="J80" i="3"/>
  <c r="L80" i="3"/>
  <c r="H80" i="3"/>
  <c r="K80" i="3"/>
  <c r="F80" i="3"/>
  <c r="G76" i="3"/>
  <c r="H76" i="3"/>
  <c r="J76" i="3"/>
  <c r="L76" i="3"/>
  <c r="K76" i="3"/>
  <c r="I76" i="3"/>
  <c r="F76" i="3"/>
  <c r="G72" i="3"/>
  <c r="I72" i="3"/>
  <c r="J72" i="3"/>
  <c r="L72" i="3"/>
  <c r="K72" i="3"/>
  <c r="H72" i="3"/>
  <c r="F72" i="3"/>
  <c r="G68" i="3"/>
  <c r="I68" i="3"/>
  <c r="J68" i="3"/>
  <c r="H68" i="3"/>
  <c r="L68" i="3"/>
  <c r="K68" i="3"/>
  <c r="G64" i="3"/>
  <c r="I64" i="3"/>
  <c r="J64" i="3"/>
  <c r="H64" i="3"/>
  <c r="L64" i="3"/>
  <c r="K64" i="3"/>
  <c r="F64" i="3"/>
  <c r="G60" i="3"/>
  <c r="I60" i="3"/>
  <c r="J60" i="3"/>
  <c r="H60" i="3"/>
  <c r="L60" i="3"/>
  <c r="K60" i="3"/>
  <c r="F60" i="3"/>
  <c r="G56" i="3"/>
  <c r="I56" i="3"/>
  <c r="J56" i="3"/>
  <c r="L56" i="3"/>
  <c r="H56" i="3"/>
  <c r="K56" i="3"/>
  <c r="F56" i="3"/>
  <c r="G52" i="3"/>
  <c r="I52" i="3"/>
  <c r="J52" i="3"/>
  <c r="H52" i="3"/>
  <c r="L52" i="3"/>
  <c r="K52" i="3"/>
  <c r="G48" i="3"/>
  <c r="I48" i="3"/>
  <c r="J48" i="3"/>
  <c r="H48" i="3"/>
  <c r="L48" i="3"/>
  <c r="K48" i="3"/>
  <c r="F48" i="3"/>
  <c r="G44" i="3"/>
  <c r="I44" i="3"/>
  <c r="J44" i="3"/>
  <c r="H44" i="3"/>
  <c r="L44" i="3"/>
  <c r="K44" i="3"/>
  <c r="F44" i="3"/>
  <c r="G40" i="3"/>
  <c r="I40" i="3"/>
  <c r="J40" i="3"/>
  <c r="H40" i="3"/>
  <c r="L40" i="3"/>
  <c r="K40" i="3"/>
  <c r="F40" i="3"/>
  <c r="G36" i="3"/>
  <c r="I36" i="3"/>
  <c r="J36" i="3"/>
  <c r="H36" i="3"/>
  <c r="L36" i="3"/>
  <c r="K36" i="3"/>
  <c r="G32" i="3"/>
  <c r="I32" i="3"/>
  <c r="J32" i="3"/>
  <c r="L32" i="3"/>
  <c r="H32" i="3"/>
  <c r="F32" i="3"/>
  <c r="K32" i="3"/>
  <c r="G28" i="3"/>
  <c r="I28" i="3"/>
  <c r="J28" i="3"/>
  <c r="H28" i="3"/>
  <c r="L28" i="3"/>
  <c r="K28" i="3"/>
  <c r="F28" i="3"/>
  <c r="G24" i="3"/>
  <c r="I24" i="3"/>
  <c r="J24" i="3"/>
  <c r="L24" i="3"/>
  <c r="K24" i="3"/>
  <c r="H24" i="3"/>
  <c r="F24" i="3"/>
  <c r="G20" i="3"/>
  <c r="I20" i="3"/>
  <c r="J20" i="3"/>
  <c r="H20" i="3"/>
  <c r="L20" i="3"/>
  <c r="K20" i="3"/>
  <c r="G16" i="3"/>
  <c r="I16" i="3"/>
  <c r="J16" i="3"/>
  <c r="H16" i="3"/>
  <c r="L16" i="3"/>
  <c r="F16" i="3"/>
  <c r="K16" i="3"/>
  <c r="G12" i="3"/>
  <c r="I12" i="3"/>
  <c r="J12" i="3"/>
  <c r="H12" i="3"/>
  <c r="L12" i="3"/>
  <c r="K12" i="3"/>
  <c r="F12" i="3"/>
  <c r="G8" i="3"/>
  <c r="I8" i="3"/>
  <c r="J8" i="3"/>
  <c r="L8" i="3"/>
  <c r="H8" i="3"/>
  <c r="K8" i="3"/>
  <c r="F8" i="3"/>
  <c r="G4" i="3"/>
  <c r="I4" i="3"/>
  <c r="H4" i="3"/>
  <c r="J4" i="3"/>
  <c r="L4" i="3"/>
  <c r="K4" i="3"/>
  <c r="D209" i="3"/>
  <c r="D204" i="3"/>
  <c r="D193" i="3"/>
  <c r="D188" i="3"/>
  <c r="D177" i="3"/>
  <c r="D172" i="3"/>
  <c r="D161" i="3"/>
  <c r="D156" i="3"/>
  <c r="D145" i="3"/>
  <c r="D140" i="3"/>
  <c r="D129" i="3"/>
  <c r="D124" i="3"/>
  <c r="D113" i="3"/>
  <c r="D108" i="3"/>
  <c r="D97" i="3"/>
  <c r="D92" i="3"/>
  <c r="D81" i="3"/>
  <c r="D76" i="3"/>
  <c r="D65" i="3"/>
  <c r="D60" i="3"/>
  <c r="D49" i="3"/>
  <c r="D44" i="3"/>
  <c r="D33" i="3"/>
  <c r="D28" i="3"/>
  <c r="D17" i="3"/>
  <c r="D12" i="3"/>
  <c r="E212" i="3"/>
  <c r="E44" i="3"/>
  <c r="E28" i="3"/>
  <c r="E12" i="3"/>
  <c r="F169" i="3"/>
  <c r="F148" i="3"/>
  <c r="F105" i="3"/>
  <c r="F84" i="3"/>
  <c r="F41" i="3"/>
  <c r="F20" i="3"/>
  <c r="L213" i="3"/>
  <c r="L197" i="3"/>
  <c r="L176" i="3"/>
  <c r="K89" i="3"/>
  <c r="L21" i="3"/>
  <c r="H133" i="3"/>
  <c r="I211" i="3"/>
  <c r="G211" i="3"/>
  <c r="J211" i="3"/>
  <c r="H211" i="3"/>
  <c r="K211" i="3"/>
  <c r="L211" i="3"/>
  <c r="I207" i="3"/>
  <c r="G207" i="3"/>
  <c r="H207" i="3"/>
  <c r="J207" i="3"/>
  <c r="K207" i="3"/>
  <c r="L207" i="3"/>
  <c r="I203" i="3"/>
  <c r="G203" i="3"/>
  <c r="H203" i="3"/>
  <c r="J203" i="3"/>
  <c r="K203" i="3"/>
  <c r="L203" i="3"/>
  <c r="I199" i="3"/>
  <c r="G199" i="3"/>
  <c r="H199" i="3"/>
  <c r="J199" i="3"/>
  <c r="K199" i="3"/>
  <c r="L199" i="3"/>
  <c r="E199" i="3"/>
  <c r="I195" i="3"/>
  <c r="G195" i="3"/>
  <c r="L195" i="3"/>
  <c r="H195" i="3"/>
  <c r="J195" i="3"/>
  <c r="K195" i="3"/>
  <c r="E195" i="3"/>
  <c r="I191" i="3"/>
  <c r="G191" i="3"/>
  <c r="L191" i="3"/>
  <c r="H191" i="3"/>
  <c r="J191" i="3"/>
  <c r="K191" i="3"/>
  <c r="F191" i="3"/>
  <c r="E191" i="3"/>
  <c r="G187" i="3"/>
  <c r="I187" i="3"/>
  <c r="J187" i="3"/>
  <c r="L187" i="3"/>
  <c r="F187" i="3"/>
  <c r="H187" i="3"/>
  <c r="E187" i="3"/>
  <c r="G183" i="3"/>
  <c r="I183" i="3"/>
  <c r="J183" i="3"/>
  <c r="L183" i="3"/>
  <c r="K183" i="3"/>
  <c r="F183" i="3"/>
  <c r="H183" i="3"/>
  <c r="E183" i="3"/>
  <c r="G179" i="3"/>
  <c r="I179" i="3"/>
  <c r="J179" i="3"/>
  <c r="L179" i="3"/>
  <c r="F179" i="3"/>
  <c r="H179" i="3"/>
  <c r="K179" i="3"/>
  <c r="E179" i="3"/>
  <c r="G175" i="3"/>
  <c r="I175" i="3"/>
  <c r="J175" i="3"/>
  <c r="L175" i="3"/>
  <c r="K175" i="3"/>
  <c r="F175" i="3"/>
  <c r="H175" i="3"/>
  <c r="E175" i="3"/>
  <c r="G171" i="3"/>
  <c r="I171" i="3"/>
  <c r="J171" i="3"/>
  <c r="L171" i="3"/>
  <c r="F171" i="3"/>
  <c r="H171" i="3"/>
  <c r="E171" i="3"/>
  <c r="G167" i="3"/>
  <c r="I167" i="3"/>
  <c r="J167" i="3"/>
  <c r="L167" i="3"/>
  <c r="K167" i="3"/>
  <c r="F167" i="3"/>
  <c r="H167" i="3"/>
  <c r="E167" i="3"/>
  <c r="G163" i="3"/>
  <c r="I163" i="3"/>
  <c r="J163" i="3"/>
  <c r="L163" i="3"/>
  <c r="F163" i="3"/>
  <c r="H163" i="3"/>
  <c r="K163" i="3"/>
  <c r="E163" i="3"/>
  <c r="G159" i="3"/>
  <c r="I159" i="3"/>
  <c r="J159" i="3"/>
  <c r="L159" i="3"/>
  <c r="K159" i="3"/>
  <c r="F159" i="3"/>
  <c r="H159" i="3"/>
  <c r="E159" i="3"/>
  <c r="G155" i="3"/>
  <c r="I155" i="3"/>
  <c r="J155" i="3"/>
  <c r="L155" i="3"/>
  <c r="F155" i="3"/>
  <c r="H155" i="3"/>
  <c r="E155" i="3"/>
  <c r="G151" i="3"/>
  <c r="I151" i="3"/>
  <c r="J151" i="3"/>
  <c r="L151" i="3"/>
  <c r="K151" i="3"/>
  <c r="F151" i="3"/>
  <c r="H151" i="3"/>
  <c r="E151" i="3"/>
  <c r="G147" i="3"/>
  <c r="I147" i="3"/>
  <c r="J147" i="3"/>
  <c r="L147" i="3"/>
  <c r="F147" i="3"/>
  <c r="H147" i="3"/>
  <c r="K147" i="3"/>
  <c r="E147" i="3"/>
  <c r="G143" i="3"/>
  <c r="I143" i="3"/>
  <c r="J143" i="3"/>
  <c r="L143" i="3"/>
  <c r="K143" i="3"/>
  <c r="F143" i="3"/>
  <c r="H143" i="3"/>
  <c r="E143" i="3"/>
  <c r="G139" i="3"/>
  <c r="I139" i="3"/>
  <c r="J139" i="3"/>
  <c r="L139" i="3"/>
  <c r="F139" i="3"/>
  <c r="H139" i="3"/>
  <c r="E139" i="3"/>
  <c r="G135" i="3"/>
  <c r="I135" i="3"/>
  <c r="J135" i="3"/>
  <c r="L135" i="3"/>
  <c r="K135" i="3"/>
  <c r="F135" i="3"/>
  <c r="H135" i="3"/>
  <c r="E135" i="3"/>
  <c r="G131" i="3"/>
  <c r="I131" i="3"/>
  <c r="J131" i="3"/>
  <c r="L131" i="3"/>
  <c r="F131" i="3"/>
  <c r="H131" i="3"/>
  <c r="K131" i="3"/>
  <c r="E131" i="3"/>
  <c r="G127" i="3"/>
  <c r="I127" i="3"/>
  <c r="J127" i="3"/>
  <c r="L127" i="3"/>
  <c r="K127" i="3"/>
  <c r="F127" i="3"/>
  <c r="H127" i="3"/>
  <c r="E127" i="3"/>
  <c r="G123" i="3"/>
  <c r="I123" i="3"/>
  <c r="J123" i="3"/>
  <c r="L123" i="3"/>
  <c r="F123" i="3"/>
  <c r="H123" i="3"/>
  <c r="K123" i="3"/>
  <c r="E123" i="3"/>
  <c r="G119" i="3"/>
  <c r="I119" i="3"/>
  <c r="J119" i="3"/>
  <c r="L119" i="3"/>
  <c r="K119" i="3"/>
  <c r="F119" i="3"/>
  <c r="H119" i="3"/>
  <c r="E119" i="3"/>
  <c r="G115" i="3"/>
  <c r="I115" i="3"/>
  <c r="J115" i="3"/>
  <c r="L115" i="3"/>
  <c r="K115" i="3"/>
  <c r="F115" i="3"/>
  <c r="H115" i="3"/>
  <c r="E115" i="3"/>
  <c r="G111" i="3"/>
  <c r="I111" i="3"/>
  <c r="J111" i="3"/>
  <c r="L111" i="3"/>
  <c r="K111" i="3"/>
  <c r="F111" i="3"/>
  <c r="H111" i="3"/>
  <c r="E111" i="3"/>
  <c r="G107" i="3"/>
  <c r="H107" i="3"/>
  <c r="J107" i="3"/>
  <c r="L107" i="3"/>
  <c r="I107" i="3"/>
  <c r="K107" i="3"/>
  <c r="F107" i="3"/>
  <c r="E107" i="3"/>
  <c r="G103" i="3"/>
  <c r="H103" i="3"/>
  <c r="J103" i="3"/>
  <c r="L103" i="3"/>
  <c r="I103" i="3"/>
  <c r="K103" i="3"/>
  <c r="F103" i="3"/>
  <c r="E103" i="3"/>
  <c r="G99" i="3"/>
  <c r="H99" i="3"/>
  <c r="J99" i="3"/>
  <c r="L99" i="3"/>
  <c r="I99" i="3"/>
  <c r="K99" i="3"/>
  <c r="F99" i="3"/>
  <c r="E99" i="3"/>
  <c r="G95" i="3"/>
  <c r="H95" i="3"/>
  <c r="J95" i="3"/>
  <c r="L95" i="3"/>
  <c r="K95" i="3"/>
  <c r="F95" i="3"/>
  <c r="I95" i="3"/>
  <c r="E95" i="3"/>
  <c r="G91" i="3"/>
  <c r="H91" i="3"/>
  <c r="J91" i="3"/>
  <c r="L91" i="3"/>
  <c r="I91" i="3"/>
  <c r="K91" i="3"/>
  <c r="F91" i="3"/>
  <c r="E91" i="3"/>
  <c r="G87" i="3"/>
  <c r="J87" i="3"/>
  <c r="I87" i="3"/>
  <c r="L87" i="3"/>
  <c r="K87" i="3"/>
  <c r="F87" i="3"/>
  <c r="H87" i="3"/>
  <c r="E87" i="3"/>
  <c r="G83" i="3"/>
  <c r="J83" i="3"/>
  <c r="H83" i="3"/>
  <c r="L83" i="3"/>
  <c r="K83" i="3"/>
  <c r="F83" i="3"/>
  <c r="I83" i="3"/>
  <c r="E83" i="3"/>
  <c r="G79" i="3"/>
  <c r="J79" i="3"/>
  <c r="I79" i="3"/>
  <c r="L79" i="3"/>
  <c r="H79" i="3"/>
  <c r="K79" i="3"/>
  <c r="F79" i="3"/>
  <c r="E79" i="3"/>
  <c r="G75" i="3"/>
  <c r="J75" i="3"/>
  <c r="H75" i="3"/>
  <c r="L75" i="3"/>
  <c r="I75" i="3"/>
  <c r="K75" i="3"/>
  <c r="F75" i="3"/>
  <c r="E75" i="3"/>
  <c r="G71" i="3"/>
  <c r="H71" i="3"/>
  <c r="J71" i="3"/>
  <c r="I71" i="3"/>
  <c r="L71" i="3"/>
  <c r="K71" i="3"/>
  <c r="F71" i="3"/>
  <c r="E71" i="3"/>
  <c r="G67" i="3"/>
  <c r="H67" i="3"/>
  <c r="J67" i="3"/>
  <c r="I67" i="3"/>
  <c r="L67" i="3"/>
  <c r="K67" i="3"/>
  <c r="F67" i="3"/>
  <c r="E67" i="3"/>
  <c r="G63" i="3"/>
  <c r="H63" i="3"/>
  <c r="J63" i="3"/>
  <c r="I63" i="3"/>
  <c r="L63" i="3"/>
  <c r="K63" i="3"/>
  <c r="F63" i="3"/>
  <c r="E63" i="3"/>
  <c r="G59" i="3"/>
  <c r="H59" i="3"/>
  <c r="J59" i="3"/>
  <c r="I59" i="3"/>
  <c r="L59" i="3"/>
  <c r="K59" i="3"/>
  <c r="F59" i="3"/>
  <c r="E59" i="3"/>
  <c r="G55" i="3"/>
  <c r="H55" i="3"/>
  <c r="J55" i="3"/>
  <c r="I55" i="3"/>
  <c r="L55" i="3"/>
  <c r="K55" i="3"/>
  <c r="F55" i="3"/>
  <c r="E55" i="3"/>
  <c r="G51" i="3"/>
  <c r="H51" i="3"/>
  <c r="J51" i="3"/>
  <c r="I51" i="3"/>
  <c r="L51" i="3"/>
  <c r="K51" i="3"/>
  <c r="F51" i="3"/>
  <c r="E51" i="3"/>
  <c r="G47" i="3"/>
  <c r="H47" i="3"/>
  <c r="J47" i="3"/>
  <c r="I47" i="3"/>
  <c r="L47" i="3"/>
  <c r="K47" i="3"/>
  <c r="F47" i="3"/>
  <c r="E47" i="3"/>
  <c r="G43" i="3"/>
  <c r="H43" i="3"/>
  <c r="J43" i="3"/>
  <c r="I43" i="3"/>
  <c r="L43" i="3"/>
  <c r="K43" i="3"/>
  <c r="F43" i="3"/>
  <c r="E43" i="3"/>
  <c r="G39" i="3"/>
  <c r="H39" i="3"/>
  <c r="J39" i="3"/>
  <c r="I39" i="3"/>
  <c r="L39" i="3"/>
  <c r="K39" i="3"/>
  <c r="F39" i="3"/>
  <c r="E39" i="3"/>
  <c r="G35" i="3"/>
  <c r="H35" i="3"/>
  <c r="J35" i="3"/>
  <c r="I35" i="3"/>
  <c r="K35" i="3"/>
  <c r="L35" i="3"/>
  <c r="F35" i="3"/>
  <c r="E35" i="3"/>
  <c r="G31" i="3"/>
  <c r="H31" i="3"/>
  <c r="J31" i="3"/>
  <c r="I31" i="3"/>
  <c r="K31" i="3"/>
  <c r="L31" i="3"/>
  <c r="F31" i="3"/>
  <c r="E31" i="3"/>
  <c r="G27" i="3"/>
  <c r="H27" i="3"/>
  <c r="J27" i="3"/>
  <c r="I27" i="3"/>
  <c r="K27" i="3"/>
  <c r="L27" i="3"/>
  <c r="F27" i="3"/>
  <c r="E27" i="3"/>
  <c r="G23" i="3"/>
  <c r="H23" i="3"/>
  <c r="J23" i="3"/>
  <c r="I23" i="3"/>
  <c r="K23" i="3"/>
  <c r="L23" i="3"/>
  <c r="F23" i="3"/>
  <c r="E23" i="3"/>
  <c r="G19" i="3"/>
  <c r="H19" i="3"/>
  <c r="J19" i="3"/>
  <c r="I19" i="3"/>
  <c r="K19" i="3"/>
  <c r="L19" i="3"/>
  <c r="F19" i="3"/>
  <c r="E19" i="3"/>
  <c r="G15" i="3"/>
  <c r="H15" i="3"/>
  <c r="J15" i="3"/>
  <c r="I15" i="3"/>
  <c r="K15" i="3"/>
  <c r="L15" i="3"/>
  <c r="F15" i="3"/>
  <c r="E15" i="3"/>
  <c r="G11" i="3"/>
  <c r="H11" i="3"/>
  <c r="J11" i="3"/>
  <c r="I11" i="3"/>
  <c r="K11" i="3"/>
  <c r="L11" i="3"/>
  <c r="F11" i="3"/>
  <c r="E11" i="3"/>
  <c r="D213" i="3"/>
  <c r="D208" i="3"/>
  <c r="D203" i="3"/>
  <c r="D197" i="3"/>
  <c r="D192" i="3"/>
  <c r="D187" i="3"/>
  <c r="D181" i="3"/>
  <c r="D176" i="3"/>
  <c r="D171" i="3"/>
  <c r="D165" i="3"/>
  <c r="D160" i="3"/>
  <c r="D155" i="3"/>
  <c r="D149" i="3"/>
  <c r="D144" i="3"/>
  <c r="D139" i="3"/>
  <c r="D133" i="3"/>
  <c r="D128" i="3"/>
  <c r="D123" i="3"/>
  <c r="D117" i="3"/>
  <c r="D112" i="3"/>
  <c r="D107" i="3"/>
  <c r="D101" i="3"/>
  <c r="D96" i="3"/>
  <c r="D91" i="3"/>
  <c r="D85" i="3"/>
  <c r="D80" i="3"/>
  <c r="D75" i="3"/>
  <c r="D69" i="3"/>
  <c r="D64" i="3"/>
  <c r="D59" i="3"/>
  <c r="D53" i="3"/>
  <c r="D48" i="3"/>
  <c r="D43" i="3"/>
  <c r="D37" i="3"/>
  <c r="D32" i="3"/>
  <c r="D27" i="3"/>
  <c r="D21" i="3"/>
  <c r="D16" i="3"/>
  <c r="D11" i="3"/>
  <c r="D5" i="3"/>
  <c r="E211" i="3"/>
  <c r="E200" i="3"/>
  <c r="E192" i="3"/>
  <c r="E184" i="3"/>
  <c r="E176" i="3"/>
  <c r="E168" i="3"/>
  <c r="E160" i="3"/>
  <c r="E152" i="3"/>
  <c r="E144" i="3"/>
  <c r="E136" i="3"/>
  <c r="E128" i="3"/>
  <c r="E120" i="3"/>
  <c r="E112" i="3"/>
  <c r="E104" i="3"/>
  <c r="E96" i="3"/>
  <c r="E88" i="3"/>
  <c r="E80" i="3"/>
  <c r="E72" i="3"/>
  <c r="E64" i="3"/>
  <c r="E56" i="3"/>
  <c r="E40" i="3"/>
  <c r="E24" i="3"/>
  <c r="E8" i="3"/>
  <c r="F203" i="3"/>
  <c r="F185" i="3"/>
  <c r="F164" i="3"/>
  <c r="F121" i="3"/>
  <c r="F100" i="3"/>
  <c r="F57" i="3"/>
  <c r="F36" i="3"/>
  <c r="L209" i="3"/>
  <c r="L192" i="3"/>
  <c r="K171" i="3"/>
  <c r="L128" i="3"/>
  <c r="K73" i="3"/>
  <c r="G212" i="3"/>
  <c r="G7" i="3"/>
  <c r="H7" i="3"/>
  <c r="J7" i="3"/>
  <c r="I7" i="3"/>
  <c r="K7" i="3"/>
  <c r="L7" i="3"/>
  <c r="F7" i="3"/>
</calcChain>
</file>

<file path=xl/sharedStrings.xml><?xml version="1.0" encoding="utf-8"?>
<sst xmlns="http://schemas.openxmlformats.org/spreadsheetml/2006/main" count="15" uniqueCount="5">
  <si>
    <t xml:space="preserve">            Gain
R(Ω)</t>
    <phoneticPr fontId="1" type="noConversion"/>
  </si>
  <si>
    <t>Strain 3-Wire</t>
    <phoneticPr fontId="1" type="noConversion"/>
  </si>
  <si>
    <t>RTD(PT1000)</t>
    <phoneticPr fontId="1" type="noConversion"/>
  </si>
  <si>
    <t>RTD(PT100)</t>
    <phoneticPr fontId="1" type="noConversion"/>
  </si>
  <si>
    <t>수신 산출을 위한 기본 수식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</si>
</sst>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_ "/>
    <numFmt numFmtId="177" formatCode="0.0000_);[Red]\(0.0000\)"/>
    <numFmt numFmtId="178" formatCode="0.0000_ "/>
    <numFmt numFmtId="179" formatCode="0_);[Red]\(0\)"/>
    <numFmt numFmtId="180" formatCode="0.00000_ "/>
    <numFmt numFmtId="181" formatCode="0_ 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5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77" fontId="5" fillId="0" borderId="0" xfId="0" applyNumberFormat="1" applyFont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  <xf numFmtId="179" fontId="4" fillId="4" borderId="1" xfId="0" applyNumberFormat="1" applyFont="1" applyFill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181" fontId="4" fillId="7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80" fontId="5" fillId="2" borderId="1" xfId="0" applyNumberFormat="1" applyFont="1" applyFill="1" applyBorder="1" applyAlignment="1">
      <alignment horizontal="center" vertical="center"/>
    </xf>
    <xf numFmtId="181" fontId="4" fillId="7" borderId="1" xfId="0" applyNumberFormat="1" applyFont="1" applyFill="1" applyBorder="1">
      <alignment vertical="center"/>
    </xf>
    <xf numFmtId="176" fontId="2" fillId="6" borderId="1" xfId="0" applyNumberFormat="1" applyFont="1" applyFill="1" applyBorder="1" applyAlignment="1">
      <alignment horizontal="center" vertical="center"/>
    </xf>
    <xf numFmtId="176" fontId="2" fillId="6" borderId="1" xfId="0" applyNumberFormat="1" applyFont="1" applyFill="1" applyBorder="1">
      <alignment vertical="center"/>
    </xf>
    <xf numFmtId="176" fontId="2" fillId="2" borderId="1" xfId="0" applyNumberFormat="1" applyFont="1" applyFill="1" applyBorder="1">
      <alignment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>
      <alignment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5" fillId="6" borderId="0" xfId="0" applyNumberFormat="1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80" fontId="5" fillId="2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238125</xdr:colOff>
      <xdr:row>1</xdr:row>
      <xdr:rowOff>133350</xdr:rowOff>
    </xdr:from>
    <xdr:to>
      <xdr:col>17</xdr:col>
      <xdr:colOff>443239</xdr:colOff>
      <xdr:row>17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10525" y="447675"/>
          <a:ext cx="3634114" cy="2514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215347</xdr:colOff>
      <xdr:row>1</xdr:row>
      <xdr:rowOff>239367</xdr:rowOff>
    </xdr:from>
    <xdr:to>
      <xdr:col>17</xdr:col>
      <xdr:colOff>422117</xdr:colOff>
      <xdr:row>14</xdr:row>
      <xdr:rowOff>78684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93325" y="554106"/>
          <a:ext cx="3644053" cy="2514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581025</xdr:colOff>
      <xdr:row>3</xdr:row>
      <xdr:rowOff>95250</xdr:rowOff>
    </xdr:from>
    <xdr:to>
      <xdr:col>17</xdr:col>
      <xdr:colOff>638175</xdr:colOff>
      <xdr:row>16</xdr:row>
      <xdr:rowOff>57150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072" b="3030"/>
        <a:stretch>
          <a:fillRect/>
        </a:stretch>
      </xdr:blipFill>
      <xdr:spPr bwMode="auto">
        <a:xfrm>
          <a:off x="8220075" y="942975"/>
          <a:ext cx="3486150" cy="2438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238125</xdr:colOff>
      <xdr:row>1</xdr:row>
      <xdr:rowOff>133350</xdr:rowOff>
    </xdr:from>
    <xdr:to>
      <xdr:col>17</xdr:col>
      <xdr:colOff>443239</xdr:colOff>
      <xdr:row>17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245B6E-3835-4024-9AAF-478526186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72525" y="447675"/>
          <a:ext cx="3634114" cy="2514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workbookViewId="0">
      <selection activeCell="G23" sqref="G23"/>
    </sheetView>
  </sheetViews>
  <sheetFormatPr defaultRowHeight="12" x14ac:dyDescent="0.3"/>
  <cols>
    <col min="1" max="2" width="10" style="2" customWidth="1"/>
    <col min="3" max="8" width="9" style="2"/>
    <col min="9" max="9" width="9.875" style="2" customWidth="1"/>
    <col min="10" max="10" width="10.125" style="2" customWidth="1"/>
    <col min="11" max="16384" width="9" style="2"/>
  </cols>
  <sheetData>
    <row r="1" spans="1:12" ht="24.95" customHeight="1" x14ac:dyDescent="0.3">
      <c r="A1" s="32" t="s">
        <v>1</v>
      </c>
      <c r="B1" s="32"/>
      <c r="C1" s="32"/>
      <c r="D1" s="32"/>
      <c r="E1" s="32"/>
      <c r="F1" s="32"/>
      <c r="G1" s="32"/>
      <c r="H1" s="32"/>
      <c r="I1" s="32"/>
      <c r="J1" s="32"/>
    </row>
    <row r="2" spans="1:12" ht="24" x14ac:dyDescent="0.3">
      <c r="A2" s="11" t="s">
        <v>0</v>
      </c>
      <c r="B2" s="12"/>
      <c r="C2" s="1">
        <v>1</v>
      </c>
      <c r="D2" s="1">
        <v>2</v>
      </c>
      <c r="E2" s="1">
        <v>4</v>
      </c>
      <c r="F2" s="1">
        <v>8</v>
      </c>
      <c r="G2" s="1">
        <v>10</v>
      </c>
      <c r="H2" s="1">
        <v>20</v>
      </c>
      <c r="I2" s="1">
        <v>40</v>
      </c>
      <c r="J2" s="1">
        <v>80</v>
      </c>
      <c r="K2" s="21">
        <v>100</v>
      </c>
      <c r="L2" s="21">
        <v>1000</v>
      </c>
    </row>
    <row r="3" spans="1:12" x14ac:dyDescent="0.3">
      <c r="A3" s="3">
        <v>320</v>
      </c>
      <c r="B3" s="1">
        <v>-30</v>
      </c>
      <c r="C3" s="4">
        <f>(3.5/2)*(B3/350)*1</f>
        <v>-0.15</v>
      </c>
      <c r="D3" s="4">
        <f>C3*2</f>
        <v>-0.3</v>
      </c>
      <c r="E3" s="4">
        <f>C3*4</f>
        <v>-0.6</v>
      </c>
      <c r="F3" s="4">
        <f>C3*8</f>
        <v>-1.2</v>
      </c>
      <c r="G3" s="4">
        <f>C3*10</f>
        <v>-1.5</v>
      </c>
      <c r="H3" s="4">
        <f>C3*20</f>
        <v>-3</v>
      </c>
      <c r="I3" s="4">
        <f>C3*40</f>
        <v>-6</v>
      </c>
      <c r="J3" s="4">
        <f>C3*80</f>
        <v>-12</v>
      </c>
      <c r="K3" s="24">
        <f>C3*100</f>
        <v>-15</v>
      </c>
      <c r="L3" s="24">
        <f>C3*1000</f>
        <v>-150</v>
      </c>
    </row>
    <row r="4" spans="1:12" x14ac:dyDescent="0.3">
      <c r="A4" s="1">
        <v>321</v>
      </c>
      <c r="B4" s="1">
        <v>-29</v>
      </c>
      <c r="C4" s="22">
        <f t="shared" ref="C4:C63" si="0">(3.5/2)*(B4/350)*1</f>
        <v>-0.14499999999999999</v>
      </c>
      <c r="D4" s="22">
        <f t="shared" ref="D4:D63" si="1">C4*2</f>
        <v>-0.28999999999999998</v>
      </c>
      <c r="E4" s="22">
        <f t="shared" ref="E4:E63" si="2">C4*4</f>
        <v>-0.57999999999999996</v>
      </c>
      <c r="F4" s="22">
        <f t="shared" ref="F4:F63" si="3">C4*8</f>
        <v>-1.1599999999999999</v>
      </c>
      <c r="G4" s="22">
        <f t="shared" ref="G4:G63" si="4">C4*10</f>
        <v>-1.45</v>
      </c>
      <c r="H4" s="22">
        <f t="shared" ref="H4:H62" si="5">C4*20</f>
        <v>-2.9</v>
      </c>
      <c r="I4" s="22">
        <f t="shared" ref="I4:I63" si="6">C4*40</f>
        <v>-5.8</v>
      </c>
      <c r="J4" s="22">
        <f t="shared" ref="J4:J63" si="7">C4*80</f>
        <v>-11.6</v>
      </c>
      <c r="K4" s="23">
        <f t="shared" ref="K4:K63" si="8">C4*100</f>
        <v>-14.499999999999998</v>
      </c>
      <c r="L4" s="23">
        <f t="shared" ref="L4:L63" si="9">C4*1000</f>
        <v>-145</v>
      </c>
    </row>
    <row r="5" spans="1:12" x14ac:dyDescent="0.3">
      <c r="A5" s="1">
        <v>322</v>
      </c>
      <c r="B5" s="1">
        <v>-28</v>
      </c>
      <c r="C5" s="22">
        <f t="shared" si="0"/>
        <v>-0.14000000000000001</v>
      </c>
      <c r="D5" s="22">
        <f t="shared" si="1"/>
        <v>-0.28000000000000003</v>
      </c>
      <c r="E5" s="22">
        <f t="shared" si="2"/>
        <v>-0.56000000000000005</v>
      </c>
      <c r="F5" s="22">
        <f t="shared" si="3"/>
        <v>-1.1200000000000001</v>
      </c>
      <c r="G5" s="22">
        <f t="shared" si="4"/>
        <v>-1.4000000000000001</v>
      </c>
      <c r="H5" s="22">
        <f t="shared" si="5"/>
        <v>-2.8000000000000003</v>
      </c>
      <c r="I5" s="22">
        <f t="shared" si="6"/>
        <v>-5.6000000000000005</v>
      </c>
      <c r="J5" s="22">
        <f t="shared" si="7"/>
        <v>-11.200000000000001</v>
      </c>
      <c r="K5" s="23">
        <f t="shared" si="8"/>
        <v>-14.000000000000002</v>
      </c>
      <c r="L5" s="23">
        <f t="shared" si="9"/>
        <v>-140</v>
      </c>
    </row>
    <row r="6" spans="1:12" x14ac:dyDescent="0.3">
      <c r="A6" s="1">
        <v>323</v>
      </c>
      <c r="B6" s="1">
        <v>-27</v>
      </c>
      <c r="C6" s="22">
        <f t="shared" si="0"/>
        <v>-0.13499999999999998</v>
      </c>
      <c r="D6" s="22">
        <f t="shared" si="1"/>
        <v>-0.26999999999999996</v>
      </c>
      <c r="E6" s="22">
        <f t="shared" si="2"/>
        <v>-0.53999999999999992</v>
      </c>
      <c r="F6" s="22">
        <f t="shared" si="3"/>
        <v>-1.0799999999999998</v>
      </c>
      <c r="G6" s="22">
        <f t="shared" si="4"/>
        <v>-1.3499999999999999</v>
      </c>
      <c r="H6" s="22">
        <f t="shared" si="5"/>
        <v>-2.6999999999999997</v>
      </c>
      <c r="I6" s="22">
        <f t="shared" si="6"/>
        <v>-5.3999999999999995</v>
      </c>
      <c r="J6" s="22">
        <f t="shared" si="7"/>
        <v>-10.799999999999999</v>
      </c>
      <c r="K6" s="23">
        <f t="shared" si="8"/>
        <v>-13.499999999999998</v>
      </c>
      <c r="L6" s="23">
        <f t="shared" si="9"/>
        <v>-134.99999999999997</v>
      </c>
    </row>
    <row r="7" spans="1:12" x14ac:dyDescent="0.3">
      <c r="A7" s="1">
        <v>324</v>
      </c>
      <c r="B7" s="1">
        <v>-26</v>
      </c>
      <c r="C7" s="22">
        <f t="shared" si="0"/>
        <v>-0.13</v>
      </c>
      <c r="D7" s="22">
        <f t="shared" si="1"/>
        <v>-0.26</v>
      </c>
      <c r="E7" s="22">
        <f t="shared" si="2"/>
        <v>-0.52</v>
      </c>
      <c r="F7" s="22">
        <f t="shared" si="3"/>
        <v>-1.04</v>
      </c>
      <c r="G7" s="22">
        <f t="shared" si="4"/>
        <v>-1.3</v>
      </c>
      <c r="H7" s="22">
        <f t="shared" si="5"/>
        <v>-2.6</v>
      </c>
      <c r="I7" s="22">
        <f t="shared" si="6"/>
        <v>-5.2</v>
      </c>
      <c r="J7" s="22">
        <f t="shared" si="7"/>
        <v>-10.4</v>
      </c>
      <c r="K7" s="23">
        <f t="shared" si="8"/>
        <v>-13</v>
      </c>
      <c r="L7" s="23">
        <f t="shared" si="9"/>
        <v>-130</v>
      </c>
    </row>
    <row r="8" spans="1:12" x14ac:dyDescent="0.3">
      <c r="A8" s="1">
        <v>325</v>
      </c>
      <c r="B8" s="1">
        <v>-25</v>
      </c>
      <c r="C8" s="22">
        <f t="shared" si="0"/>
        <v>-0.125</v>
      </c>
      <c r="D8" s="22">
        <f t="shared" si="1"/>
        <v>-0.25</v>
      </c>
      <c r="E8" s="22">
        <f t="shared" si="2"/>
        <v>-0.5</v>
      </c>
      <c r="F8" s="22">
        <f t="shared" si="3"/>
        <v>-1</v>
      </c>
      <c r="G8" s="22">
        <f t="shared" si="4"/>
        <v>-1.25</v>
      </c>
      <c r="H8" s="22">
        <f t="shared" si="5"/>
        <v>-2.5</v>
      </c>
      <c r="I8" s="25">
        <f t="shared" si="6"/>
        <v>-5</v>
      </c>
      <c r="J8" s="22">
        <f t="shared" si="7"/>
        <v>-10</v>
      </c>
      <c r="K8" s="23">
        <f t="shared" si="8"/>
        <v>-12.5</v>
      </c>
      <c r="L8" s="23">
        <f t="shared" si="9"/>
        <v>-125</v>
      </c>
    </row>
    <row r="9" spans="1:12" x14ac:dyDescent="0.3">
      <c r="A9" s="1">
        <v>326</v>
      </c>
      <c r="B9" s="1">
        <v>-24</v>
      </c>
      <c r="C9" s="22">
        <f t="shared" si="0"/>
        <v>-0.12000000000000001</v>
      </c>
      <c r="D9" s="22">
        <f t="shared" si="1"/>
        <v>-0.24000000000000002</v>
      </c>
      <c r="E9" s="22">
        <f t="shared" si="2"/>
        <v>-0.48000000000000004</v>
      </c>
      <c r="F9" s="22">
        <f t="shared" si="3"/>
        <v>-0.96000000000000008</v>
      </c>
      <c r="G9" s="22">
        <f t="shared" si="4"/>
        <v>-1.2000000000000002</v>
      </c>
      <c r="H9" s="22">
        <f t="shared" si="5"/>
        <v>-2.4000000000000004</v>
      </c>
      <c r="I9" s="22">
        <f t="shared" si="6"/>
        <v>-4.8000000000000007</v>
      </c>
      <c r="J9" s="22">
        <f t="shared" si="7"/>
        <v>-9.6000000000000014</v>
      </c>
      <c r="K9" s="23">
        <f t="shared" si="8"/>
        <v>-12.000000000000002</v>
      </c>
      <c r="L9" s="23">
        <f t="shared" si="9"/>
        <v>-120.00000000000001</v>
      </c>
    </row>
    <row r="10" spans="1:12" x14ac:dyDescent="0.3">
      <c r="A10" s="1">
        <v>327</v>
      </c>
      <c r="B10" s="1">
        <v>-23</v>
      </c>
      <c r="C10" s="22">
        <f t="shared" si="0"/>
        <v>-0.11499999999999999</v>
      </c>
      <c r="D10" s="22">
        <f t="shared" si="1"/>
        <v>-0.22999999999999998</v>
      </c>
      <c r="E10" s="22">
        <f t="shared" si="2"/>
        <v>-0.45999999999999996</v>
      </c>
      <c r="F10" s="22">
        <f t="shared" si="3"/>
        <v>-0.91999999999999993</v>
      </c>
      <c r="G10" s="22">
        <f t="shared" si="4"/>
        <v>-1.1499999999999999</v>
      </c>
      <c r="H10" s="22">
        <f t="shared" si="5"/>
        <v>-2.2999999999999998</v>
      </c>
      <c r="I10" s="22">
        <f t="shared" si="6"/>
        <v>-4.5999999999999996</v>
      </c>
      <c r="J10" s="22">
        <f t="shared" si="7"/>
        <v>-9.1999999999999993</v>
      </c>
      <c r="K10" s="23">
        <f t="shared" si="8"/>
        <v>-11.5</v>
      </c>
      <c r="L10" s="23">
        <f t="shared" si="9"/>
        <v>-114.99999999999999</v>
      </c>
    </row>
    <row r="11" spans="1:12" x14ac:dyDescent="0.3">
      <c r="A11" s="1">
        <v>328</v>
      </c>
      <c r="B11" s="1">
        <v>-22</v>
      </c>
      <c r="C11" s="22">
        <f t="shared" si="0"/>
        <v>-0.11000000000000001</v>
      </c>
      <c r="D11" s="22">
        <f t="shared" si="1"/>
        <v>-0.22000000000000003</v>
      </c>
      <c r="E11" s="22">
        <f t="shared" si="2"/>
        <v>-0.44000000000000006</v>
      </c>
      <c r="F11" s="22">
        <f t="shared" si="3"/>
        <v>-0.88000000000000012</v>
      </c>
      <c r="G11" s="22">
        <f t="shared" si="4"/>
        <v>-1.1000000000000001</v>
      </c>
      <c r="H11" s="22">
        <f t="shared" si="5"/>
        <v>-2.2000000000000002</v>
      </c>
      <c r="I11" s="22">
        <f t="shared" si="6"/>
        <v>-4.4000000000000004</v>
      </c>
      <c r="J11" s="22">
        <f t="shared" si="7"/>
        <v>-8.8000000000000007</v>
      </c>
      <c r="K11" s="23">
        <f t="shared" si="8"/>
        <v>-11.000000000000002</v>
      </c>
      <c r="L11" s="23">
        <f t="shared" si="9"/>
        <v>-110.00000000000001</v>
      </c>
    </row>
    <row r="12" spans="1:12" x14ac:dyDescent="0.3">
      <c r="A12" s="1">
        <v>329</v>
      </c>
      <c r="B12" s="1">
        <v>-21</v>
      </c>
      <c r="C12" s="22">
        <f t="shared" si="0"/>
        <v>-0.105</v>
      </c>
      <c r="D12" s="22">
        <f t="shared" si="1"/>
        <v>-0.21</v>
      </c>
      <c r="E12" s="22">
        <f t="shared" si="2"/>
        <v>-0.42</v>
      </c>
      <c r="F12" s="22">
        <f t="shared" si="3"/>
        <v>-0.84</v>
      </c>
      <c r="G12" s="22">
        <f t="shared" si="4"/>
        <v>-1.05</v>
      </c>
      <c r="H12" s="22">
        <f t="shared" si="5"/>
        <v>-2.1</v>
      </c>
      <c r="I12" s="22">
        <f t="shared" si="6"/>
        <v>-4.2</v>
      </c>
      <c r="J12" s="22">
        <f t="shared" si="7"/>
        <v>-8.4</v>
      </c>
      <c r="K12" s="23">
        <f t="shared" si="8"/>
        <v>-10.5</v>
      </c>
      <c r="L12" s="23">
        <f t="shared" si="9"/>
        <v>-105</v>
      </c>
    </row>
    <row r="13" spans="1:12" x14ac:dyDescent="0.3">
      <c r="A13" s="3">
        <v>330</v>
      </c>
      <c r="B13" s="1">
        <v>-20</v>
      </c>
      <c r="C13" s="4">
        <f t="shared" si="0"/>
        <v>-9.9999999999999992E-2</v>
      </c>
      <c r="D13" s="4">
        <f t="shared" si="1"/>
        <v>-0.19999999999999998</v>
      </c>
      <c r="E13" s="4">
        <f t="shared" si="2"/>
        <v>-0.39999999999999997</v>
      </c>
      <c r="F13" s="4">
        <f t="shared" si="3"/>
        <v>-0.79999999999999993</v>
      </c>
      <c r="G13" s="4">
        <f t="shared" si="4"/>
        <v>-0.99999999999999989</v>
      </c>
      <c r="H13" s="4">
        <f t="shared" si="5"/>
        <v>-1.9999999999999998</v>
      </c>
      <c r="I13" s="4">
        <f t="shared" si="6"/>
        <v>-3.9999999999999996</v>
      </c>
      <c r="J13" s="4">
        <f t="shared" si="7"/>
        <v>-7.9999999999999991</v>
      </c>
      <c r="K13" s="24">
        <f t="shared" si="8"/>
        <v>-10</v>
      </c>
      <c r="L13" s="24">
        <f t="shared" si="9"/>
        <v>-99.999999999999986</v>
      </c>
    </row>
    <row r="14" spans="1:12" x14ac:dyDescent="0.3">
      <c r="A14" s="1">
        <v>331</v>
      </c>
      <c r="B14" s="1">
        <v>-19</v>
      </c>
      <c r="C14" s="22">
        <f t="shared" si="0"/>
        <v>-9.5000000000000001E-2</v>
      </c>
      <c r="D14" s="22">
        <f t="shared" si="1"/>
        <v>-0.19</v>
      </c>
      <c r="E14" s="22">
        <f t="shared" si="2"/>
        <v>-0.38</v>
      </c>
      <c r="F14" s="22">
        <f t="shared" si="3"/>
        <v>-0.76</v>
      </c>
      <c r="G14" s="22">
        <f t="shared" si="4"/>
        <v>-0.95</v>
      </c>
      <c r="H14" s="22">
        <f t="shared" si="5"/>
        <v>-1.9</v>
      </c>
      <c r="I14" s="22">
        <f t="shared" si="6"/>
        <v>-3.8</v>
      </c>
      <c r="J14" s="22">
        <f t="shared" si="7"/>
        <v>-7.6</v>
      </c>
      <c r="K14" s="23">
        <f t="shared" si="8"/>
        <v>-9.5</v>
      </c>
      <c r="L14" s="23">
        <f t="shared" si="9"/>
        <v>-95</v>
      </c>
    </row>
    <row r="15" spans="1:12" x14ac:dyDescent="0.3">
      <c r="A15" s="1">
        <v>332</v>
      </c>
      <c r="B15" s="1">
        <v>-18</v>
      </c>
      <c r="C15" s="22">
        <f t="shared" si="0"/>
        <v>-0.09</v>
      </c>
      <c r="D15" s="22">
        <f t="shared" si="1"/>
        <v>-0.18</v>
      </c>
      <c r="E15" s="22">
        <f t="shared" si="2"/>
        <v>-0.36</v>
      </c>
      <c r="F15" s="22">
        <f t="shared" si="3"/>
        <v>-0.72</v>
      </c>
      <c r="G15" s="22">
        <f t="shared" si="4"/>
        <v>-0.89999999999999991</v>
      </c>
      <c r="H15" s="22">
        <f t="shared" si="5"/>
        <v>-1.7999999999999998</v>
      </c>
      <c r="I15" s="22">
        <f t="shared" si="6"/>
        <v>-3.5999999999999996</v>
      </c>
      <c r="J15" s="22">
        <f t="shared" si="7"/>
        <v>-7.1999999999999993</v>
      </c>
      <c r="K15" s="23">
        <f t="shared" si="8"/>
        <v>-9</v>
      </c>
      <c r="L15" s="23">
        <f t="shared" si="9"/>
        <v>-90</v>
      </c>
    </row>
    <row r="16" spans="1:12" x14ac:dyDescent="0.3">
      <c r="A16" s="1">
        <v>333</v>
      </c>
      <c r="B16" s="1">
        <v>-17</v>
      </c>
      <c r="C16" s="22">
        <f t="shared" si="0"/>
        <v>-8.4999999999999992E-2</v>
      </c>
      <c r="D16" s="22">
        <f t="shared" si="1"/>
        <v>-0.16999999999999998</v>
      </c>
      <c r="E16" s="22">
        <f t="shared" si="2"/>
        <v>-0.33999999999999997</v>
      </c>
      <c r="F16" s="22">
        <f t="shared" si="3"/>
        <v>-0.67999999999999994</v>
      </c>
      <c r="G16" s="22">
        <f t="shared" si="4"/>
        <v>-0.84999999999999987</v>
      </c>
      <c r="H16" s="22">
        <f t="shared" si="5"/>
        <v>-1.6999999999999997</v>
      </c>
      <c r="I16" s="22">
        <f t="shared" si="6"/>
        <v>-3.3999999999999995</v>
      </c>
      <c r="J16" s="22">
        <f t="shared" si="7"/>
        <v>-6.7999999999999989</v>
      </c>
      <c r="K16" s="23">
        <f t="shared" si="8"/>
        <v>-8.5</v>
      </c>
      <c r="L16" s="23">
        <f t="shared" si="9"/>
        <v>-84.999999999999986</v>
      </c>
    </row>
    <row r="17" spans="1:12" x14ac:dyDescent="0.3">
      <c r="A17" s="1">
        <v>334</v>
      </c>
      <c r="B17" s="1">
        <v>-16</v>
      </c>
      <c r="C17" s="22">
        <f t="shared" si="0"/>
        <v>-0.08</v>
      </c>
      <c r="D17" s="22">
        <f t="shared" si="1"/>
        <v>-0.16</v>
      </c>
      <c r="E17" s="22">
        <f t="shared" si="2"/>
        <v>-0.32</v>
      </c>
      <c r="F17" s="22">
        <f t="shared" si="3"/>
        <v>-0.64</v>
      </c>
      <c r="G17" s="22">
        <f t="shared" si="4"/>
        <v>-0.8</v>
      </c>
      <c r="H17" s="22">
        <f t="shared" si="5"/>
        <v>-1.6</v>
      </c>
      <c r="I17" s="22">
        <f t="shared" si="6"/>
        <v>-3.2</v>
      </c>
      <c r="J17" s="22">
        <f t="shared" si="7"/>
        <v>-6.4</v>
      </c>
      <c r="K17" s="23">
        <f t="shared" si="8"/>
        <v>-8</v>
      </c>
      <c r="L17" s="23">
        <f t="shared" si="9"/>
        <v>-80</v>
      </c>
    </row>
    <row r="18" spans="1:12" x14ac:dyDescent="0.3">
      <c r="A18" s="1">
        <v>335</v>
      </c>
      <c r="B18" s="1">
        <v>-15</v>
      </c>
      <c r="C18" s="22">
        <f t="shared" si="0"/>
        <v>-7.4999999999999997E-2</v>
      </c>
      <c r="D18" s="22">
        <f t="shared" si="1"/>
        <v>-0.15</v>
      </c>
      <c r="E18" s="22">
        <f t="shared" si="2"/>
        <v>-0.3</v>
      </c>
      <c r="F18" s="22">
        <f t="shared" si="3"/>
        <v>-0.6</v>
      </c>
      <c r="G18" s="22">
        <f t="shared" si="4"/>
        <v>-0.75</v>
      </c>
      <c r="H18" s="22">
        <f t="shared" si="5"/>
        <v>-1.5</v>
      </c>
      <c r="I18" s="22">
        <f t="shared" si="6"/>
        <v>-3</v>
      </c>
      <c r="J18" s="22">
        <f t="shared" si="7"/>
        <v>-6</v>
      </c>
      <c r="K18" s="23">
        <f t="shared" si="8"/>
        <v>-7.5</v>
      </c>
      <c r="L18" s="23">
        <f t="shared" si="9"/>
        <v>-75</v>
      </c>
    </row>
    <row r="19" spans="1:12" x14ac:dyDescent="0.3">
      <c r="A19" s="1">
        <v>336</v>
      </c>
      <c r="B19" s="1">
        <v>-14</v>
      </c>
      <c r="C19" s="22">
        <f t="shared" si="0"/>
        <v>-7.0000000000000007E-2</v>
      </c>
      <c r="D19" s="22">
        <f t="shared" si="1"/>
        <v>-0.14000000000000001</v>
      </c>
      <c r="E19" s="22">
        <f t="shared" si="2"/>
        <v>-0.28000000000000003</v>
      </c>
      <c r="F19" s="22">
        <f t="shared" si="3"/>
        <v>-0.56000000000000005</v>
      </c>
      <c r="G19" s="22">
        <f t="shared" si="4"/>
        <v>-0.70000000000000007</v>
      </c>
      <c r="H19" s="22">
        <f t="shared" si="5"/>
        <v>-1.4000000000000001</v>
      </c>
      <c r="I19" s="22">
        <f t="shared" si="6"/>
        <v>-2.8000000000000003</v>
      </c>
      <c r="J19" s="22">
        <f t="shared" si="7"/>
        <v>-5.6000000000000005</v>
      </c>
      <c r="K19" s="23">
        <f t="shared" si="8"/>
        <v>-7.0000000000000009</v>
      </c>
      <c r="L19" s="23">
        <f t="shared" si="9"/>
        <v>-70</v>
      </c>
    </row>
    <row r="20" spans="1:12" x14ac:dyDescent="0.3">
      <c r="A20" s="1">
        <v>337</v>
      </c>
      <c r="B20" s="1">
        <v>-13</v>
      </c>
      <c r="C20" s="22">
        <f t="shared" si="0"/>
        <v>-6.5000000000000002E-2</v>
      </c>
      <c r="D20" s="22">
        <f t="shared" si="1"/>
        <v>-0.13</v>
      </c>
      <c r="E20" s="22">
        <f t="shared" si="2"/>
        <v>-0.26</v>
      </c>
      <c r="F20" s="22">
        <f t="shared" si="3"/>
        <v>-0.52</v>
      </c>
      <c r="G20" s="22">
        <f t="shared" si="4"/>
        <v>-0.65</v>
      </c>
      <c r="H20" s="22">
        <f t="shared" si="5"/>
        <v>-1.3</v>
      </c>
      <c r="I20" s="22">
        <f t="shared" si="6"/>
        <v>-2.6</v>
      </c>
      <c r="J20" s="25">
        <f t="shared" si="7"/>
        <v>-5.2</v>
      </c>
      <c r="K20" s="23">
        <f t="shared" si="8"/>
        <v>-6.5</v>
      </c>
      <c r="L20" s="23">
        <f t="shared" si="9"/>
        <v>-65</v>
      </c>
    </row>
    <row r="21" spans="1:12" x14ac:dyDescent="0.3">
      <c r="A21" s="1">
        <v>338</v>
      </c>
      <c r="B21" s="1">
        <v>-12</v>
      </c>
      <c r="C21" s="22">
        <f t="shared" si="0"/>
        <v>-6.0000000000000005E-2</v>
      </c>
      <c r="D21" s="22">
        <f t="shared" si="1"/>
        <v>-0.12000000000000001</v>
      </c>
      <c r="E21" s="22">
        <f t="shared" si="2"/>
        <v>-0.24000000000000002</v>
      </c>
      <c r="F21" s="22">
        <f t="shared" si="3"/>
        <v>-0.48000000000000004</v>
      </c>
      <c r="G21" s="22">
        <f t="shared" si="4"/>
        <v>-0.60000000000000009</v>
      </c>
      <c r="H21" s="22">
        <f t="shared" si="5"/>
        <v>-1.2000000000000002</v>
      </c>
      <c r="I21" s="22">
        <f t="shared" si="6"/>
        <v>-2.4000000000000004</v>
      </c>
      <c r="J21" s="22">
        <f t="shared" si="7"/>
        <v>-4.8000000000000007</v>
      </c>
      <c r="K21" s="23">
        <f t="shared" si="8"/>
        <v>-6.0000000000000009</v>
      </c>
      <c r="L21" s="23">
        <f t="shared" si="9"/>
        <v>-60.000000000000007</v>
      </c>
    </row>
    <row r="22" spans="1:12" x14ac:dyDescent="0.3">
      <c r="A22" s="1">
        <v>339</v>
      </c>
      <c r="B22" s="1">
        <v>-11</v>
      </c>
      <c r="C22" s="22">
        <f t="shared" si="0"/>
        <v>-5.5000000000000007E-2</v>
      </c>
      <c r="D22" s="22">
        <f t="shared" si="1"/>
        <v>-0.11000000000000001</v>
      </c>
      <c r="E22" s="22">
        <f t="shared" si="2"/>
        <v>-0.22000000000000003</v>
      </c>
      <c r="F22" s="22">
        <f t="shared" si="3"/>
        <v>-0.44000000000000006</v>
      </c>
      <c r="G22" s="22">
        <f t="shared" si="4"/>
        <v>-0.55000000000000004</v>
      </c>
      <c r="H22" s="22">
        <f t="shared" si="5"/>
        <v>-1.1000000000000001</v>
      </c>
      <c r="I22" s="22">
        <f t="shared" si="6"/>
        <v>-2.2000000000000002</v>
      </c>
      <c r="J22" s="22">
        <f t="shared" si="7"/>
        <v>-4.4000000000000004</v>
      </c>
      <c r="K22" s="23">
        <f t="shared" si="8"/>
        <v>-5.5000000000000009</v>
      </c>
      <c r="L22" s="23">
        <f t="shared" si="9"/>
        <v>-55.000000000000007</v>
      </c>
    </row>
    <row r="23" spans="1:12" x14ac:dyDescent="0.3">
      <c r="A23" s="3">
        <v>340</v>
      </c>
      <c r="B23" s="1">
        <v>-10</v>
      </c>
      <c r="C23" s="4">
        <f t="shared" si="0"/>
        <v>-4.9999999999999996E-2</v>
      </c>
      <c r="D23" s="4">
        <f t="shared" si="1"/>
        <v>-9.9999999999999992E-2</v>
      </c>
      <c r="E23" s="4">
        <f t="shared" si="2"/>
        <v>-0.19999999999999998</v>
      </c>
      <c r="F23" s="4">
        <f t="shared" si="3"/>
        <v>-0.39999999999999997</v>
      </c>
      <c r="G23" s="4">
        <f t="shared" si="4"/>
        <v>-0.49999999999999994</v>
      </c>
      <c r="H23" s="4">
        <f t="shared" si="5"/>
        <v>-0.99999999999999989</v>
      </c>
      <c r="I23" s="4">
        <f t="shared" si="6"/>
        <v>-1.9999999999999998</v>
      </c>
      <c r="J23" s="4">
        <f t="shared" si="7"/>
        <v>-3.9999999999999996</v>
      </c>
      <c r="K23" s="26">
        <f t="shared" si="8"/>
        <v>-5</v>
      </c>
      <c r="L23" s="24">
        <f t="shared" si="9"/>
        <v>-49.999999999999993</v>
      </c>
    </row>
    <row r="24" spans="1:12" x14ac:dyDescent="0.3">
      <c r="A24" s="1">
        <v>341</v>
      </c>
      <c r="B24" s="1">
        <v>-9</v>
      </c>
      <c r="C24" s="22">
        <f t="shared" si="0"/>
        <v>-4.4999999999999998E-2</v>
      </c>
      <c r="D24" s="22">
        <f t="shared" si="1"/>
        <v>-0.09</v>
      </c>
      <c r="E24" s="22">
        <f t="shared" si="2"/>
        <v>-0.18</v>
      </c>
      <c r="F24" s="22">
        <f t="shared" si="3"/>
        <v>-0.36</v>
      </c>
      <c r="G24" s="22">
        <f t="shared" si="4"/>
        <v>-0.44999999999999996</v>
      </c>
      <c r="H24" s="22">
        <f t="shared" si="5"/>
        <v>-0.89999999999999991</v>
      </c>
      <c r="I24" s="22">
        <f t="shared" si="6"/>
        <v>-1.7999999999999998</v>
      </c>
      <c r="J24" s="22">
        <f t="shared" si="7"/>
        <v>-3.5999999999999996</v>
      </c>
      <c r="K24" s="23">
        <f t="shared" si="8"/>
        <v>-4.5</v>
      </c>
      <c r="L24" s="23">
        <f t="shared" si="9"/>
        <v>-45</v>
      </c>
    </row>
    <row r="25" spans="1:12" x14ac:dyDescent="0.3">
      <c r="A25" s="1">
        <v>342</v>
      </c>
      <c r="B25" s="1">
        <v>-8</v>
      </c>
      <c r="C25" s="22">
        <f t="shared" si="0"/>
        <v>-0.04</v>
      </c>
      <c r="D25" s="22">
        <f t="shared" si="1"/>
        <v>-0.08</v>
      </c>
      <c r="E25" s="22">
        <f t="shared" si="2"/>
        <v>-0.16</v>
      </c>
      <c r="F25" s="22">
        <f t="shared" si="3"/>
        <v>-0.32</v>
      </c>
      <c r="G25" s="22">
        <f t="shared" si="4"/>
        <v>-0.4</v>
      </c>
      <c r="H25" s="22">
        <f t="shared" si="5"/>
        <v>-0.8</v>
      </c>
      <c r="I25" s="22">
        <f t="shared" si="6"/>
        <v>-1.6</v>
      </c>
      <c r="J25" s="22">
        <f t="shared" si="7"/>
        <v>-3.2</v>
      </c>
      <c r="K25" s="23">
        <f t="shared" si="8"/>
        <v>-4</v>
      </c>
      <c r="L25" s="23">
        <f t="shared" si="9"/>
        <v>-40</v>
      </c>
    </row>
    <row r="26" spans="1:12" x14ac:dyDescent="0.3">
      <c r="A26" s="1">
        <v>343</v>
      </c>
      <c r="B26" s="1">
        <v>-7</v>
      </c>
      <c r="C26" s="22">
        <f t="shared" si="0"/>
        <v>-3.5000000000000003E-2</v>
      </c>
      <c r="D26" s="22">
        <f t="shared" si="1"/>
        <v>-7.0000000000000007E-2</v>
      </c>
      <c r="E26" s="22">
        <f t="shared" si="2"/>
        <v>-0.14000000000000001</v>
      </c>
      <c r="F26" s="22">
        <f t="shared" si="3"/>
        <v>-0.28000000000000003</v>
      </c>
      <c r="G26" s="22">
        <f t="shared" si="4"/>
        <v>-0.35000000000000003</v>
      </c>
      <c r="H26" s="22">
        <f t="shared" si="5"/>
        <v>-0.70000000000000007</v>
      </c>
      <c r="I26" s="22">
        <f t="shared" si="6"/>
        <v>-1.4000000000000001</v>
      </c>
      <c r="J26" s="22">
        <f t="shared" si="7"/>
        <v>-2.8000000000000003</v>
      </c>
      <c r="K26" s="23">
        <f t="shared" si="8"/>
        <v>-3.5000000000000004</v>
      </c>
      <c r="L26" s="23">
        <f t="shared" si="9"/>
        <v>-35</v>
      </c>
    </row>
    <row r="27" spans="1:12" x14ac:dyDescent="0.3">
      <c r="A27" s="1">
        <v>344</v>
      </c>
      <c r="B27" s="1">
        <v>-6</v>
      </c>
      <c r="C27" s="22">
        <f t="shared" si="0"/>
        <v>-3.0000000000000002E-2</v>
      </c>
      <c r="D27" s="22">
        <f t="shared" si="1"/>
        <v>-6.0000000000000005E-2</v>
      </c>
      <c r="E27" s="22">
        <f t="shared" si="2"/>
        <v>-0.12000000000000001</v>
      </c>
      <c r="F27" s="22">
        <f t="shared" si="3"/>
        <v>-0.24000000000000002</v>
      </c>
      <c r="G27" s="22">
        <f t="shared" si="4"/>
        <v>-0.30000000000000004</v>
      </c>
      <c r="H27" s="22">
        <f t="shared" si="5"/>
        <v>-0.60000000000000009</v>
      </c>
      <c r="I27" s="22">
        <f t="shared" si="6"/>
        <v>-1.2000000000000002</v>
      </c>
      <c r="J27" s="22">
        <f t="shared" si="7"/>
        <v>-2.4000000000000004</v>
      </c>
      <c r="K27" s="23">
        <f t="shared" si="8"/>
        <v>-3.0000000000000004</v>
      </c>
      <c r="L27" s="23">
        <f t="shared" si="9"/>
        <v>-30.000000000000004</v>
      </c>
    </row>
    <row r="28" spans="1:12" x14ac:dyDescent="0.3">
      <c r="A28" s="1">
        <v>345</v>
      </c>
      <c r="B28" s="1">
        <v>-5</v>
      </c>
      <c r="C28" s="22">
        <f t="shared" si="0"/>
        <v>-2.4999999999999998E-2</v>
      </c>
      <c r="D28" s="22">
        <f t="shared" si="1"/>
        <v>-4.9999999999999996E-2</v>
      </c>
      <c r="E28" s="22">
        <f t="shared" si="2"/>
        <v>-9.9999999999999992E-2</v>
      </c>
      <c r="F28" s="22">
        <f t="shared" si="3"/>
        <v>-0.19999999999999998</v>
      </c>
      <c r="G28" s="22">
        <f t="shared" si="4"/>
        <v>-0.24999999999999997</v>
      </c>
      <c r="H28" s="22">
        <f t="shared" si="5"/>
        <v>-0.49999999999999994</v>
      </c>
      <c r="I28" s="22">
        <f t="shared" si="6"/>
        <v>-0.99999999999999989</v>
      </c>
      <c r="J28" s="22">
        <f t="shared" si="7"/>
        <v>-1.9999999999999998</v>
      </c>
      <c r="K28" s="23">
        <f t="shared" si="8"/>
        <v>-2.5</v>
      </c>
      <c r="L28" s="23">
        <f t="shared" si="9"/>
        <v>-24.999999999999996</v>
      </c>
    </row>
    <row r="29" spans="1:12" x14ac:dyDescent="0.3">
      <c r="A29" s="1">
        <v>346</v>
      </c>
      <c r="B29" s="1">
        <v>-4</v>
      </c>
      <c r="C29" s="22">
        <f t="shared" si="0"/>
        <v>-0.02</v>
      </c>
      <c r="D29" s="22">
        <f t="shared" si="1"/>
        <v>-0.04</v>
      </c>
      <c r="E29" s="22">
        <f t="shared" si="2"/>
        <v>-0.08</v>
      </c>
      <c r="F29" s="22">
        <f t="shared" si="3"/>
        <v>-0.16</v>
      </c>
      <c r="G29" s="22">
        <f t="shared" si="4"/>
        <v>-0.2</v>
      </c>
      <c r="H29" s="22">
        <f t="shared" si="5"/>
        <v>-0.4</v>
      </c>
      <c r="I29" s="22">
        <f t="shared" si="6"/>
        <v>-0.8</v>
      </c>
      <c r="J29" s="22">
        <f t="shared" si="7"/>
        <v>-1.6</v>
      </c>
      <c r="K29" s="23">
        <f t="shared" si="8"/>
        <v>-2</v>
      </c>
      <c r="L29" s="23">
        <f t="shared" si="9"/>
        <v>-20</v>
      </c>
    </row>
    <row r="30" spans="1:12" x14ac:dyDescent="0.3">
      <c r="A30" s="1">
        <v>347</v>
      </c>
      <c r="B30" s="1">
        <v>-3</v>
      </c>
      <c r="C30" s="22">
        <f t="shared" si="0"/>
        <v>-1.5000000000000001E-2</v>
      </c>
      <c r="D30" s="22">
        <f t="shared" si="1"/>
        <v>-3.0000000000000002E-2</v>
      </c>
      <c r="E30" s="22">
        <f t="shared" si="2"/>
        <v>-6.0000000000000005E-2</v>
      </c>
      <c r="F30" s="22">
        <f t="shared" si="3"/>
        <v>-0.12000000000000001</v>
      </c>
      <c r="G30" s="22">
        <f t="shared" si="4"/>
        <v>-0.15000000000000002</v>
      </c>
      <c r="H30" s="22">
        <f t="shared" si="5"/>
        <v>-0.30000000000000004</v>
      </c>
      <c r="I30" s="22">
        <f t="shared" si="6"/>
        <v>-0.60000000000000009</v>
      </c>
      <c r="J30" s="22">
        <f t="shared" si="7"/>
        <v>-1.2000000000000002</v>
      </c>
      <c r="K30" s="23">
        <f t="shared" si="8"/>
        <v>-1.5000000000000002</v>
      </c>
      <c r="L30" s="23">
        <f t="shared" si="9"/>
        <v>-15.000000000000002</v>
      </c>
    </row>
    <row r="31" spans="1:12" x14ac:dyDescent="0.3">
      <c r="A31" s="1">
        <v>348</v>
      </c>
      <c r="B31" s="1">
        <v>-2</v>
      </c>
      <c r="C31" s="22">
        <f t="shared" si="0"/>
        <v>-0.01</v>
      </c>
      <c r="D31" s="22">
        <f t="shared" si="1"/>
        <v>-0.02</v>
      </c>
      <c r="E31" s="22">
        <f t="shared" si="2"/>
        <v>-0.04</v>
      </c>
      <c r="F31" s="22">
        <f t="shared" si="3"/>
        <v>-0.08</v>
      </c>
      <c r="G31" s="22">
        <f t="shared" si="4"/>
        <v>-0.1</v>
      </c>
      <c r="H31" s="22">
        <f t="shared" si="5"/>
        <v>-0.2</v>
      </c>
      <c r="I31" s="22">
        <f t="shared" si="6"/>
        <v>-0.4</v>
      </c>
      <c r="J31" s="22">
        <f t="shared" si="7"/>
        <v>-0.8</v>
      </c>
      <c r="K31" s="23">
        <f t="shared" si="8"/>
        <v>-1</v>
      </c>
      <c r="L31" s="23">
        <f t="shared" si="9"/>
        <v>-10</v>
      </c>
    </row>
    <row r="32" spans="1:12" x14ac:dyDescent="0.3">
      <c r="A32" s="1">
        <v>349</v>
      </c>
      <c r="B32" s="1">
        <v>-1</v>
      </c>
      <c r="C32" s="22">
        <f t="shared" si="0"/>
        <v>-5.0000000000000001E-3</v>
      </c>
      <c r="D32" s="22">
        <f t="shared" si="1"/>
        <v>-0.01</v>
      </c>
      <c r="E32" s="22">
        <f t="shared" si="2"/>
        <v>-0.02</v>
      </c>
      <c r="F32" s="22">
        <f t="shared" si="3"/>
        <v>-0.04</v>
      </c>
      <c r="G32" s="22">
        <f t="shared" si="4"/>
        <v>-0.05</v>
      </c>
      <c r="H32" s="22">
        <f t="shared" si="5"/>
        <v>-0.1</v>
      </c>
      <c r="I32" s="22">
        <f t="shared" si="6"/>
        <v>-0.2</v>
      </c>
      <c r="J32" s="22">
        <f t="shared" si="7"/>
        <v>-0.4</v>
      </c>
      <c r="K32" s="23">
        <f t="shared" si="8"/>
        <v>-0.5</v>
      </c>
      <c r="L32" s="26">
        <f t="shared" si="9"/>
        <v>-5</v>
      </c>
    </row>
    <row r="33" spans="1:12" x14ac:dyDescent="0.3">
      <c r="A33" s="3">
        <v>350</v>
      </c>
      <c r="B33" s="3">
        <v>0</v>
      </c>
      <c r="C33" s="4">
        <f t="shared" si="0"/>
        <v>0</v>
      </c>
      <c r="D33" s="4">
        <f t="shared" si="1"/>
        <v>0</v>
      </c>
      <c r="E33" s="4">
        <f t="shared" si="2"/>
        <v>0</v>
      </c>
      <c r="F33" s="4">
        <f t="shared" si="3"/>
        <v>0</v>
      </c>
      <c r="G33" s="4">
        <f t="shared" si="4"/>
        <v>0</v>
      </c>
      <c r="H33" s="4">
        <f t="shared" si="5"/>
        <v>0</v>
      </c>
      <c r="I33" s="4">
        <f t="shared" si="6"/>
        <v>0</v>
      </c>
      <c r="J33" s="4">
        <f t="shared" si="7"/>
        <v>0</v>
      </c>
      <c r="K33" s="24">
        <f t="shared" si="8"/>
        <v>0</v>
      </c>
      <c r="L33" s="24">
        <f t="shared" si="9"/>
        <v>0</v>
      </c>
    </row>
    <row r="34" spans="1:12" x14ac:dyDescent="0.3">
      <c r="A34" s="1">
        <v>351</v>
      </c>
      <c r="B34" s="1">
        <v>1</v>
      </c>
      <c r="C34" s="22">
        <f t="shared" si="0"/>
        <v>5.0000000000000001E-3</v>
      </c>
      <c r="D34" s="22">
        <f t="shared" si="1"/>
        <v>0.01</v>
      </c>
      <c r="E34" s="22">
        <f t="shared" si="2"/>
        <v>0.02</v>
      </c>
      <c r="F34" s="22">
        <f t="shared" si="3"/>
        <v>0.04</v>
      </c>
      <c r="G34" s="22">
        <f t="shared" si="4"/>
        <v>0.05</v>
      </c>
      <c r="H34" s="22">
        <f t="shared" si="5"/>
        <v>0.1</v>
      </c>
      <c r="I34" s="22">
        <f t="shared" si="6"/>
        <v>0.2</v>
      </c>
      <c r="J34" s="22">
        <f t="shared" si="7"/>
        <v>0.4</v>
      </c>
      <c r="K34" s="23">
        <f t="shared" si="8"/>
        <v>0.5</v>
      </c>
      <c r="L34" s="26">
        <f t="shared" si="9"/>
        <v>5</v>
      </c>
    </row>
    <row r="35" spans="1:12" x14ac:dyDescent="0.3">
      <c r="A35" s="1">
        <v>352</v>
      </c>
      <c r="B35" s="3">
        <v>2</v>
      </c>
      <c r="C35" s="22">
        <f t="shared" si="0"/>
        <v>0.01</v>
      </c>
      <c r="D35" s="22">
        <f t="shared" si="1"/>
        <v>0.02</v>
      </c>
      <c r="E35" s="22">
        <f t="shared" si="2"/>
        <v>0.04</v>
      </c>
      <c r="F35" s="22">
        <f t="shared" si="3"/>
        <v>0.08</v>
      </c>
      <c r="G35" s="22">
        <f t="shared" si="4"/>
        <v>0.1</v>
      </c>
      <c r="H35" s="22">
        <f t="shared" si="5"/>
        <v>0.2</v>
      </c>
      <c r="I35" s="22">
        <f t="shared" si="6"/>
        <v>0.4</v>
      </c>
      <c r="J35" s="22">
        <f t="shared" si="7"/>
        <v>0.8</v>
      </c>
      <c r="K35" s="23">
        <f t="shared" si="8"/>
        <v>1</v>
      </c>
      <c r="L35" s="23">
        <f t="shared" si="9"/>
        <v>10</v>
      </c>
    </row>
    <row r="36" spans="1:12" x14ac:dyDescent="0.3">
      <c r="A36" s="1">
        <v>353</v>
      </c>
      <c r="B36" s="1">
        <v>3</v>
      </c>
      <c r="C36" s="22">
        <f t="shared" si="0"/>
        <v>1.5000000000000001E-2</v>
      </c>
      <c r="D36" s="22">
        <f t="shared" si="1"/>
        <v>3.0000000000000002E-2</v>
      </c>
      <c r="E36" s="22">
        <f t="shared" si="2"/>
        <v>6.0000000000000005E-2</v>
      </c>
      <c r="F36" s="22">
        <f t="shared" si="3"/>
        <v>0.12000000000000001</v>
      </c>
      <c r="G36" s="22">
        <f t="shared" si="4"/>
        <v>0.15000000000000002</v>
      </c>
      <c r="H36" s="22">
        <f t="shared" si="5"/>
        <v>0.30000000000000004</v>
      </c>
      <c r="I36" s="22">
        <f t="shared" si="6"/>
        <v>0.60000000000000009</v>
      </c>
      <c r="J36" s="22">
        <f t="shared" si="7"/>
        <v>1.2000000000000002</v>
      </c>
      <c r="K36" s="23">
        <f t="shared" si="8"/>
        <v>1.5000000000000002</v>
      </c>
      <c r="L36" s="23">
        <f t="shared" si="9"/>
        <v>15.000000000000002</v>
      </c>
    </row>
    <row r="37" spans="1:12" x14ac:dyDescent="0.3">
      <c r="A37" s="1">
        <v>354</v>
      </c>
      <c r="B37" s="3">
        <v>4</v>
      </c>
      <c r="C37" s="22">
        <f t="shared" si="0"/>
        <v>0.02</v>
      </c>
      <c r="D37" s="22">
        <f t="shared" si="1"/>
        <v>0.04</v>
      </c>
      <c r="E37" s="22">
        <f t="shared" si="2"/>
        <v>0.08</v>
      </c>
      <c r="F37" s="22">
        <f t="shared" si="3"/>
        <v>0.16</v>
      </c>
      <c r="G37" s="22">
        <f t="shared" si="4"/>
        <v>0.2</v>
      </c>
      <c r="H37" s="22">
        <f t="shared" si="5"/>
        <v>0.4</v>
      </c>
      <c r="I37" s="22">
        <f t="shared" si="6"/>
        <v>0.8</v>
      </c>
      <c r="J37" s="22">
        <f t="shared" si="7"/>
        <v>1.6</v>
      </c>
      <c r="K37" s="23">
        <f t="shared" si="8"/>
        <v>2</v>
      </c>
      <c r="L37" s="23">
        <f t="shared" si="9"/>
        <v>20</v>
      </c>
    </row>
    <row r="38" spans="1:12" x14ac:dyDescent="0.3">
      <c r="A38" s="1">
        <v>355</v>
      </c>
      <c r="B38" s="1">
        <v>5</v>
      </c>
      <c r="C38" s="22">
        <f t="shared" si="0"/>
        <v>2.4999999999999998E-2</v>
      </c>
      <c r="D38" s="22">
        <f t="shared" si="1"/>
        <v>4.9999999999999996E-2</v>
      </c>
      <c r="E38" s="22">
        <f t="shared" si="2"/>
        <v>9.9999999999999992E-2</v>
      </c>
      <c r="F38" s="22">
        <f t="shared" si="3"/>
        <v>0.19999999999999998</v>
      </c>
      <c r="G38" s="22">
        <f t="shared" si="4"/>
        <v>0.24999999999999997</v>
      </c>
      <c r="H38" s="22">
        <f t="shared" si="5"/>
        <v>0.49999999999999994</v>
      </c>
      <c r="I38" s="22">
        <f t="shared" si="6"/>
        <v>0.99999999999999989</v>
      </c>
      <c r="J38" s="22">
        <f t="shared" si="7"/>
        <v>1.9999999999999998</v>
      </c>
      <c r="K38" s="23">
        <f t="shared" si="8"/>
        <v>2.5</v>
      </c>
      <c r="L38" s="23">
        <f t="shared" si="9"/>
        <v>24.999999999999996</v>
      </c>
    </row>
    <row r="39" spans="1:12" x14ac:dyDescent="0.3">
      <c r="A39" s="1">
        <v>356</v>
      </c>
      <c r="B39" s="3">
        <v>6</v>
      </c>
      <c r="C39" s="22">
        <f t="shared" si="0"/>
        <v>3.0000000000000002E-2</v>
      </c>
      <c r="D39" s="22">
        <f t="shared" si="1"/>
        <v>6.0000000000000005E-2</v>
      </c>
      <c r="E39" s="22">
        <f t="shared" si="2"/>
        <v>0.12000000000000001</v>
      </c>
      <c r="F39" s="22">
        <f t="shared" si="3"/>
        <v>0.24000000000000002</v>
      </c>
      <c r="G39" s="22">
        <f t="shared" si="4"/>
        <v>0.30000000000000004</v>
      </c>
      <c r="H39" s="22">
        <f t="shared" si="5"/>
        <v>0.60000000000000009</v>
      </c>
      <c r="I39" s="22">
        <f t="shared" si="6"/>
        <v>1.2000000000000002</v>
      </c>
      <c r="J39" s="22">
        <f t="shared" si="7"/>
        <v>2.4000000000000004</v>
      </c>
      <c r="K39" s="23">
        <f t="shared" si="8"/>
        <v>3.0000000000000004</v>
      </c>
      <c r="L39" s="23">
        <f t="shared" si="9"/>
        <v>30.000000000000004</v>
      </c>
    </row>
    <row r="40" spans="1:12" x14ac:dyDescent="0.3">
      <c r="A40" s="1">
        <v>357</v>
      </c>
      <c r="B40" s="1">
        <v>7</v>
      </c>
      <c r="C40" s="22">
        <f t="shared" si="0"/>
        <v>3.5000000000000003E-2</v>
      </c>
      <c r="D40" s="22">
        <f t="shared" si="1"/>
        <v>7.0000000000000007E-2</v>
      </c>
      <c r="E40" s="22">
        <f t="shared" si="2"/>
        <v>0.14000000000000001</v>
      </c>
      <c r="F40" s="22">
        <f t="shared" si="3"/>
        <v>0.28000000000000003</v>
      </c>
      <c r="G40" s="22">
        <f t="shared" si="4"/>
        <v>0.35000000000000003</v>
      </c>
      <c r="H40" s="22">
        <f t="shared" si="5"/>
        <v>0.70000000000000007</v>
      </c>
      <c r="I40" s="22">
        <f t="shared" si="6"/>
        <v>1.4000000000000001</v>
      </c>
      <c r="J40" s="22">
        <f t="shared" si="7"/>
        <v>2.8000000000000003</v>
      </c>
      <c r="K40" s="23">
        <f t="shared" si="8"/>
        <v>3.5000000000000004</v>
      </c>
      <c r="L40" s="23">
        <f t="shared" si="9"/>
        <v>35</v>
      </c>
    </row>
    <row r="41" spans="1:12" x14ac:dyDescent="0.3">
      <c r="A41" s="1">
        <v>358</v>
      </c>
      <c r="B41" s="3">
        <v>8</v>
      </c>
      <c r="C41" s="22">
        <f t="shared" si="0"/>
        <v>0.04</v>
      </c>
      <c r="D41" s="22">
        <f t="shared" si="1"/>
        <v>0.08</v>
      </c>
      <c r="E41" s="22">
        <f t="shared" si="2"/>
        <v>0.16</v>
      </c>
      <c r="F41" s="22">
        <f t="shared" si="3"/>
        <v>0.32</v>
      </c>
      <c r="G41" s="22">
        <f t="shared" si="4"/>
        <v>0.4</v>
      </c>
      <c r="H41" s="22">
        <f t="shared" si="5"/>
        <v>0.8</v>
      </c>
      <c r="I41" s="22">
        <f t="shared" si="6"/>
        <v>1.6</v>
      </c>
      <c r="J41" s="22">
        <f t="shared" si="7"/>
        <v>3.2</v>
      </c>
      <c r="K41" s="23">
        <f t="shared" si="8"/>
        <v>4</v>
      </c>
      <c r="L41" s="23">
        <f t="shared" si="9"/>
        <v>40</v>
      </c>
    </row>
    <row r="42" spans="1:12" x14ac:dyDescent="0.3">
      <c r="A42" s="1">
        <v>359</v>
      </c>
      <c r="B42" s="1">
        <v>9</v>
      </c>
      <c r="C42" s="22">
        <f t="shared" si="0"/>
        <v>4.4999999999999998E-2</v>
      </c>
      <c r="D42" s="22">
        <f t="shared" si="1"/>
        <v>0.09</v>
      </c>
      <c r="E42" s="22">
        <f t="shared" si="2"/>
        <v>0.18</v>
      </c>
      <c r="F42" s="22">
        <f t="shared" si="3"/>
        <v>0.36</v>
      </c>
      <c r="G42" s="22">
        <f t="shared" si="4"/>
        <v>0.44999999999999996</v>
      </c>
      <c r="H42" s="22">
        <f t="shared" si="5"/>
        <v>0.89999999999999991</v>
      </c>
      <c r="I42" s="22">
        <f t="shared" si="6"/>
        <v>1.7999999999999998</v>
      </c>
      <c r="J42" s="22">
        <f t="shared" si="7"/>
        <v>3.5999999999999996</v>
      </c>
      <c r="K42" s="23">
        <f t="shared" si="8"/>
        <v>4.5</v>
      </c>
      <c r="L42" s="23">
        <f t="shared" si="9"/>
        <v>45</v>
      </c>
    </row>
    <row r="43" spans="1:12" x14ac:dyDescent="0.3">
      <c r="A43" s="3">
        <v>360</v>
      </c>
      <c r="B43" s="3">
        <v>10</v>
      </c>
      <c r="C43" s="4">
        <f t="shared" si="0"/>
        <v>4.9999999999999996E-2</v>
      </c>
      <c r="D43" s="4">
        <f t="shared" si="1"/>
        <v>9.9999999999999992E-2</v>
      </c>
      <c r="E43" s="4">
        <f t="shared" si="2"/>
        <v>0.19999999999999998</v>
      </c>
      <c r="F43" s="4">
        <f t="shared" si="3"/>
        <v>0.39999999999999997</v>
      </c>
      <c r="G43" s="4">
        <f t="shared" si="4"/>
        <v>0.49999999999999994</v>
      </c>
      <c r="H43" s="4">
        <f t="shared" si="5"/>
        <v>0.99999999999999989</v>
      </c>
      <c r="I43" s="4">
        <f t="shared" si="6"/>
        <v>1.9999999999999998</v>
      </c>
      <c r="J43" s="4">
        <f t="shared" si="7"/>
        <v>3.9999999999999996</v>
      </c>
      <c r="K43" s="26">
        <f t="shared" si="8"/>
        <v>5</v>
      </c>
      <c r="L43" s="24">
        <f t="shared" si="9"/>
        <v>49.999999999999993</v>
      </c>
    </row>
    <row r="44" spans="1:12" x14ac:dyDescent="0.3">
      <c r="A44" s="1">
        <v>361</v>
      </c>
      <c r="B44" s="1">
        <v>11</v>
      </c>
      <c r="C44" s="22">
        <f t="shared" si="0"/>
        <v>5.5000000000000007E-2</v>
      </c>
      <c r="D44" s="22">
        <f t="shared" si="1"/>
        <v>0.11000000000000001</v>
      </c>
      <c r="E44" s="22">
        <f t="shared" si="2"/>
        <v>0.22000000000000003</v>
      </c>
      <c r="F44" s="22">
        <f t="shared" si="3"/>
        <v>0.44000000000000006</v>
      </c>
      <c r="G44" s="22">
        <f t="shared" si="4"/>
        <v>0.55000000000000004</v>
      </c>
      <c r="H44" s="22">
        <f t="shared" si="5"/>
        <v>1.1000000000000001</v>
      </c>
      <c r="I44" s="22">
        <f t="shared" si="6"/>
        <v>2.2000000000000002</v>
      </c>
      <c r="J44" s="22">
        <f t="shared" si="7"/>
        <v>4.4000000000000004</v>
      </c>
      <c r="K44" s="23">
        <f t="shared" si="8"/>
        <v>5.5000000000000009</v>
      </c>
      <c r="L44" s="23">
        <f t="shared" si="9"/>
        <v>55.000000000000007</v>
      </c>
    </row>
    <row r="45" spans="1:12" x14ac:dyDescent="0.3">
      <c r="A45" s="1">
        <v>362</v>
      </c>
      <c r="B45" s="3">
        <v>12</v>
      </c>
      <c r="C45" s="22">
        <f t="shared" si="0"/>
        <v>6.0000000000000005E-2</v>
      </c>
      <c r="D45" s="22">
        <f t="shared" si="1"/>
        <v>0.12000000000000001</v>
      </c>
      <c r="E45" s="22">
        <f t="shared" si="2"/>
        <v>0.24000000000000002</v>
      </c>
      <c r="F45" s="22">
        <f t="shared" si="3"/>
        <v>0.48000000000000004</v>
      </c>
      <c r="G45" s="22">
        <f t="shared" si="4"/>
        <v>0.60000000000000009</v>
      </c>
      <c r="H45" s="22">
        <f t="shared" si="5"/>
        <v>1.2000000000000002</v>
      </c>
      <c r="I45" s="22">
        <f t="shared" si="6"/>
        <v>2.4000000000000004</v>
      </c>
      <c r="J45" s="22">
        <f t="shared" si="7"/>
        <v>4.8000000000000007</v>
      </c>
      <c r="K45" s="23">
        <f t="shared" si="8"/>
        <v>6.0000000000000009</v>
      </c>
      <c r="L45" s="23">
        <f t="shared" si="9"/>
        <v>60.000000000000007</v>
      </c>
    </row>
    <row r="46" spans="1:12" x14ac:dyDescent="0.3">
      <c r="A46" s="1">
        <v>363</v>
      </c>
      <c r="B46" s="1">
        <v>13</v>
      </c>
      <c r="C46" s="22">
        <f t="shared" si="0"/>
        <v>6.5000000000000002E-2</v>
      </c>
      <c r="D46" s="22">
        <f t="shared" si="1"/>
        <v>0.13</v>
      </c>
      <c r="E46" s="22">
        <f t="shared" si="2"/>
        <v>0.26</v>
      </c>
      <c r="F46" s="22">
        <f t="shared" si="3"/>
        <v>0.52</v>
      </c>
      <c r="G46" s="22">
        <f t="shared" si="4"/>
        <v>0.65</v>
      </c>
      <c r="H46" s="22">
        <f t="shared" si="5"/>
        <v>1.3</v>
      </c>
      <c r="I46" s="22">
        <f t="shared" si="6"/>
        <v>2.6</v>
      </c>
      <c r="J46" s="25">
        <f t="shared" si="7"/>
        <v>5.2</v>
      </c>
      <c r="K46" s="23">
        <f t="shared" si="8"/>
        <v>6.5</v>
      </c>
      <c r="L46" s="23">
        <f t="shared" si="9"/>
        <v>65</v>
      </c>
    </row>
    <row r="47" spans="1:12" x14ac:dyDescent="0.3">
      <c r="A47" s="1">
        <v>364</v>
      </c>
      <c r="B47" s="3">
        <v>14</v>
      </c>
      <c r="C47" s="22">
        <f t="shared" si="0"/>
        <v>7.0000000000000007E-2</v>
      </c>
      <c r="D47" s="22">
        <f t="shared" si="1"/>
        <v>0.14000000000000001</v>
      </c>
      <c r="E47" s="22">
        <f t="shared" si="2"/>
        <v>0.28000000000000003</v>
      </c>
      <c r="F47" s="22">
        <f t="shared" si="3"/>
        <v>0.56000000000000005</v>
      </c>
      <c r="G47" s="22">
        <f t="shared" si="4"/>
        <v>0.70000000000000007</v>
      </c>
      <c r="H47" s="22">
        <f t="shared" si="5"/>
        <v>1.4000000000000001</v>
      </c>
      <c r="I47" s="22">
        <f t="shared" si="6"/>
        <v>2.8000000000000003</v>
      </c>
      <c r="J47" s="22">
        <f t="shared" si="7"/>
        <v>5.6000000000000005</v>
      </c>
      <c r="K47" s="23">
        <f t="shared" si="8"/>
        <v>7.0000000000000009</v>
      </c>
      <c r="L47" s="23">
        <f t="shared" si="9"/>
        <v>70</v>
      </c>
    </row>
    <row r="48" spans="1:12" x14ac:dyDescent="0.3">
      <c r="A48" s="1">
        <v>365</v>
      </c>
      <c r="B48" s="1">
        <v>15</v>
      </c>
      <c r="C48" s="22">
        <f t="shared" si="0"/>
        <v>7.4999999999999997E-2</v>
      </c>
      <c r="D48" s="22">
        <f t="shared" si="1"/>
        <v>0.15</v>
      </c>
      <c r="E48" s="22">
        <f t="shared" si="2"/>
        <v>0.3</v>
      </c>
      <c r="F48" s="22">
        <f t="shared" si="3"/>
        <v>0.6</v>
      </c>
      <c r="G48" s="22">
        <f t="shared" si="4"/>
        <v>0.75</v>
      </c>
      <c r="H48" s="22">
        <f t="shared" si="5"/>
        <v>1.5</v>
      </c>
      <c r="I48" s="22">
        <f t="shared" si="6"/>
        <v>3</v>
      </c>
      <c r="J48" s="22">
        <f t="shared" si="7"/>
        <v>6</v>
      </c>
      <c r="K48" s="23">
        <f t="shared" si="8"/>
        <v>7.5</v>
      </c>
      <c r="L48" s="23">
        <f t="shared" si="9"/>
        <v>75</v>
      </c>
    </row>
    <row r="49" spans="1:12" x14ac:dyDescent="0.3">
      <c r="A49" s="1">
        <v>366</v>
      </c>
      <c r="B49" s="3">
        <v>16</v>
      </c>
      <c r="C49" s="22">
        <f t="shared" si="0"/>
        <v>0.08</v>
      </c>
      <c r="D49" s="22">
        <f t="shared" si="1"/>
        <v>0.16</v>
      </c>
      <c r="E49" s="22">
        <f t="shared" si="2"/>
        <v>0.32</v>
      </c>
      <c r="F49" s="22">
        <f t="shared" si="3"/>
        <v>0.64</v>
      </c>
      <c r="G49" s="22">
        <f t="shared" si="4"/>
        <v>0.8</v>
      </c>
      <c r="H49" s="22">
        <f t="shared" si="5"/>
        <v>1.6</v>
      </c>
      <c r="I49" s="22">
        <f t="shared" si="6"/>
        <v>3.2</v>
      </c>
      <c r="J49" s="22">
        <f t="shared" si="7"/>
        <v>6.4</v>
      </c>
      <c r="K49" s="23">
        <f t="shared" si="8"/>
        <v>8</v>
      </c>
      <c r="L49" s="23">
        <f t="shared" si="9"/>
        <v>80</v>
      </c>
    </row>
    <row r="50" spans="1:12" x14ac:dyDescent="0.3">
      <c r="A50" s="1">
        <v>367</v>
      </c>
      <c r="B50" s="1">
        <v>17</v>
      </c>
      <c r="C50" s="22">
        <f t="shared" si="0"/>
        <v>8.4999999999999992E-2</v>
      </c>
      <c r="D50" s="22">
        <f t="shared" si="1"/>
        <v>0.16999999999999998</v>
      </c>
      <c r="E50" s="22">
        <f t="shared" si="2"/>
        <v>0.33999999999999997</v>
      </c>
      <c r="F50" s="22">
        <f t="shared" si="3"/>
        <v>0.67999999999999994</v>
      </c>
      <c r="G50" s="22">
        <f t="shared" si="4"/>
        <v>0.84999999999999987</v>
      </c>
      <c r="H50" s="22">
        <f t="shared" si="5"/>
        <v>1.6999999999999997</v>
      </c>
      <c r="I50" s="22">
        <f t="shared" si="6"/>
        <v>3.3999999999999995</v>
      </c>
      <c r="J50" s="22">
        <f t="shared" si="7"/>
        <v>6.7999999999999989</v>
      </c>
      <c r="K50" s="23">
        <f t="shared" si="8"/>
        <v>8.5</v>
      </c>
      <c r="L50" s="23">
        <f t="shared" si="9"/>
        <v>84.999999999999986</v>
      </c>
    </row>
    <row r="51" spans="1:12" x14ac:dyDescent="0.3">
      <c r="A51" s="1">
        <v>368</v>
      </c>
      <c r="B51" s="3">
        <v>18</v>
      </c>
      <c r="C51" s="22">
        <f t="shared" si="0"/>
        <v>0.09</v>
      </c>
      <c r="D51" s="22">
        <f t="shared" si="1"/>
        <v>0.18</v>
      </c>
      <c r="E51" s="22">
        <f t="shared" si="2"/>
        <v>0.36</v>
      </c>
      <c r="F51" s="22">
        <f t="shared" si="3"/>
        <v>0.72</v>
      </c>
      <c r="G51" s="22">
        <f t="shared" si="4"/>
        <v>0.89999999999999991</v>
      </c>
      <c r="H51" s="22">
        <f t="shared" si="5"/>
        <v>1.7999999999999998</v>
      </c>
      <c r="I51" s="22">
        <f t="shared" si="6"/>
        <v>3.5999999999999996</v>
      </c>
      <c r="J51" s="22">
        <f t="shared" si="7"/>
        <v>7.1999999999999993</v>
      </c>
      <c r="K51" s="23">
        <f t="shared" si="8"/>
        <v>9</v>
      </c>
      <c r="L51" s="23">
        <f t="shared" si="9"/>
        <v>90</v>
      </c>
    </row>
    <row r="52" spans="1:12" x14ac:dyDescent="0.3">
      <c r="A52" s="1">
        <v>369</v>
      </c>
      <c r="B52" s="1">
        <v>19</v>
      </c>
      <c r="C52" s="22">
        <f t="shared" si="0"/>
        <v>9.5000000000000001E-2</v>
      </c>
      <c r="D52" s="22">
        <f t="shared" si="1"/>
        <v>0.19</v>
      </c>
      <c r="E52" s="22">
        <f t="shared" si="2"/>
        <v>0.38</v>
      </c>
      <c r="F52" s="22">
        <f t="shared" si="3"/>
        <v>0.76</v>
      </c>
      <c r="G52" s="22">
        <f t="shared" si="4"/>
        <v>0.95</v>
      </c>
      <c r="H52" s="22">
        <f t="shared" si="5"/>
        <v>1.9</v>
      </c>
      <c r="I52" s="22">
        <f t="shared" si="6"/>
        <v>3.8</v>
      </c>
      <c r="J52" s="22">
        <f t="shared" si="7"/>
        <v>7.6</v>
      </c>
      <c r="K52" s="23">
        <f t="shared" si="8"/>
        <v>9.5</v>
      </c>
      <c r="L52" s="23">
        <f t="shared" si="9"/>
        <v>95</v>
      </c>
    </row>
    <row r="53" spans="1:12" x14ac:dyDescent="0.3">
      <c r="A53" s="3">
        <v>370</v>
      </c>
      <c r="B53" s="3">
        <v>20</v>
      </c>
      <c r="C53" s="4">
        <f t="shared" si="0"/>
        <v>9.9999999999999992E-2</v>
      </c>
      <c r="D53" s="4">
        <f t="shared" si="1"/>
        <v>0.19999999999999998</v>
      </c>
      <c r="E53" s="4">
        <f t="shared" si="2"/>
        <v>0.39999999999999997</v>
      </c>
      <c r="F53" s="4">
        <f t="shared" si="3"/>
        <v>0.79999999999999993</v>
      </c>
      <c r="G53" s="4">
        <f t="shared" si="4"/>
        <v>0.99999999999999989</v>
      </c>
      <c r="H53" s="4">
        <f t="shared" si="5"/>
        <v>1.9999999999999998</v>
      </c>
      <c r="I53" s="4">
        <f t="shared" si="6"/>
        <v>3.9999999999999996</v>
      </c>
      <c r="J53" s="4">
        <f t="shared" si="7"/>
        <v>7.9999999999999991</v>
      </c>
      <c r="K53" s="24">
        <f t="shared" si="8"/>
        <v>10</v>
      </c>
      <c r="L53" s="24">
        <f t="shared" si="9"/>
        <v>99.999999999999986</v>
      </c>
    </row>
    <row r="54" spans="1:12" x14ac:dyDescent="0.3">
      <c r="A54" s="1">
        <v>371</v>
      </c>
      <c r="B54" s="1">
        <v>21</v>
      </c>
      <c r="C54" s="22">
        <f t="shared" si="0"/>
        <v>0.105</v>
      </c>
      <c r="D54" s="22">
        <f t="shared" si="1"/>
        <v>0.21</v>
      </c>
      <c r="E54" s="22">
        <f t="shared" si="2"/>
        <v>0.42</v>
      </c>
      <c r="F54" s="22">
        <f t="shared" si="3"/>
        <v>0.84</v>
      </c>
      <c r="G54" s="22">
        <f t="shared" si="4"/>
        <v>1.05</v>
      </c>
      <c r="H54" s="22">
        <f t="shared" si="5"/>
        <v>2.1</v>
      </c>
      <c r="I54" s="22">
        <f t="shared" si="6"/>
        <v>4.2</v>
      </c>
      <c r="J54" s="22">
        <f t="shared" si="7"/>
        <v>8.4</v>
      </c>
      <c r="K54" s="23">
        <f t="shared" si="8"/>
        <v>10.5</v>
      </c>
      <c r="L54" s="23">
        <f t="shared" si="9"/>
        <v>105</v>
      </c>
    </row>
    <row r="55" spans="1:12" x14ac:dyDescent="0.3">
      <c r="A55" s="1">
        <v>372</v>
      </c>
      <c r="B55" s="3">
        <v>22</v>
      </c>
      <c r="C55" s="22">
        <f t="shared" si="0"/>
        <v>0.11000000000000001</v>
      </c>
      <c r="D55" s="22">
        <f t="shared" si="1"/>
        <v>0.22000000000000003</v>
      </c>
      <c r="E55" s="22">
        <f t="shared" si="2"/>
        <v>0.44000000000000006</v>
      </c>
      <c r="F55" s="22">
        <f t="shared" si="3"/>
        <v>0.88000000000000012</v>
      </c>
      <c r="G55" s="22">
        <f t="shared" si="4"/>
        <v>1.1000000000000001</v>
      </c>
      <c r="H55" s="22">
        <f t="shared" si="5"/>
        <v>2.2000000000000002</v>
      </c>
      <c r="I55" s="22">
        <f t="shared" si="6"/>
        <v>4.4000000000000004</v>
      </c>
      <c r="J55" s="22">
        <f t="shared" si="7"/>
        <v>8.8000000000000007</v>
      </c>
      <c r="K55" s="23">
        <f t="shared" si="8"/>
        <v>11.000000000000002</v>
      </c>
      <c r="L55" s="23">
        <f t="shared" si="9"/>
        <v>110.00000000000001</v>
      </c>
    </row>
    <row r="56" spans="1:12" x14ac:dyDescent="0.3">
      <c r="A56" s="1">
        <v>373</v>
      </c>
      <c r="B56" s="1">
        <v>23</v>
      </c>
      <c r="C56" s="22">
        <f t="shared" si="0"/>
        <v>0.11499999999999999</v>
      </c>
      <c r="D56" s="22">
        <f t="shared" si="1"/>
        <v>0.22999999999999998</v>
      </c>
      <c r="E56" s="22">
        <f t="shared" si="2"/>
        <v>0.45999999999999996</v>
      </c>
      <c r="F56" s="22">
        <f t="shared" si="3"/>
        <v>0.91999999999999993</v>
      </c>
      <c r="G56" s="22">
        <f t="shared" si="4"/>
        <v>1.1499999999999999</v>
      </c>
      <c r="H56" s="22">
        <f t="shared" si="5"/>
        <v>2.2999999999999998</v>
      </c>
      <c r="I56" s="22">
        <f t="shared" si="6"/>
        <v>4.5999999999999996</v>
      </c>
      <c r="J56" s="22">
        <f t="shared" si="7"/>
        <v>9.1999999999999993</v>
      </c>
      <c r="K56" s="23">
        <f t="shared" si="8"/>
        <v>11.5</v>
      </c>
      <c r="L56" s="23">
        <f t="shared" si="9"/>
        <v>114.99999999999999</v>
      </c>
    </row>
    <row r="57" spans="1:12" x14ac:dyDescent="0.3">
      <c r="A57" s="1">
        <v>374</v>
      </c>
      <c r="B57" s="3">
        <v>24</v>
      </c>
      <c r="C57" s="22">
        <f t="shared" si="0"/>
        <v>0.12000000000000001</v>
      </c>
      <c r="D57" s="22">
        <f t="shared" si="1"/>
        <v>0.24000000000000002</v>
      </c>
      <c r="E57" s="22">
        <f t="shared" si="2"/>
        <v>0.48000000000000004</v>
      </c>
      <c r="F57" s="22">
        <f t="shared" si="3"/>
        <v>0.96000000000000008</v>
      </c>
      <c r="G57" s="22">
        <f t="shared" si="4"/>
        <v>1.2000000000000002</v>
      </c>
      <c r="H57" s="22">
        <f t="shared" si="5"/>
        <v>2.4000000000000004</v>
      </c>
      <c r="I57" s="22">
        <f t="shared" si="6"/>
        <v>4.8000000000000007</v>
      </c>
      <c r="J57" s="22">
        <f t="shared" si="7"/>
        <v>9.6000000000000014</v>
      </c>
      <c r="K57" s="23">
        <f t="shared" si="8"/>
        <v>12.000000000000002</v>
      </c>
      <c r="L57" s="23">
        <f t="shared" si="9"/>
        <v>120.00000000000001</v>
      </c>
    </row>
    <row r="58" spans="1:12" x14ac:dyDescent="0.3">
      <c r="A58" s="1">
        <v>375</v>
      </c>
      <c r="B58" s="1">
        <v>25</v>
      </c>
      <c r="C58" s="22">
        <f t="shared" si="0"/>
        <v>0.125</v>
      </c>
      <c r="D58" s="22">
        <f t="shared" si="1"/>
        <v>0.25</v>
      </c>
      <c r="E58" s="22">
        <f t="shared" si="2"/>
        <v>0.5</v>
      </c>
      <c r="F58" s="22">
        <f t="shared" si="3"/>
        <v>1</v>
      </c>
      <c r="G58" s="22">
        <f t="shared" si="4"/>
        <v>1.25</v>
      </c>
      <c r="H58" s="22">
        <f t="shared" si="5"/>
        <v>2.5</v>
      </c>
      <c r="I58" s="25">
        <f t="shared" si="6"/>
        <v>5</v>
      </c>
      <c r="J58" s="22">
        <f t="shared" si="7"/>
        <v>10</v>
      </c>
      <c r="K58" s="23">
        <f t="shared" si="8"/>
        <v>12.5</v>
      </c>
      <c r="L58" s="23">
        <f t="shared" si="9"/>
        <v>125</v>
      </c>
    </row>
    <row r="59" spans="1:12" x14ac:dyDescent="0.3">
      <c r="A59" s="1">
        <v>376</v>
      </c>
      <c r="B59" s="3">
        <v>26</v>
      </c>
      <c r="C59" s="22">
        <f t="shared" si="0"/>
        <v>0.13</v>
      </c>
      <c r="D59" s="22">
        <f t="shared" si="1"/>
        <v>0.26</v>
      </c>
      <c r="E59" s="22">
        <f t="shared" si="2"/>
        <v>0.52</v>
      </c>
      <c r="F59" s="22">
        <f t="shared" si="3"/>
        <v>1.04</v>
      </c>
      <c r="G59" s="22">
        <f t="shared" si="4"/>
        <v>1.3</v>
      </c>
      <c r="H59" s="22">
        <f t="shared" si="5"/>
        <v>2.6</v>
      </c>
      <c r="I59" s="22">
        <f t="shared" si="6"/>
        <v>5.2</v>
      </c>
      <c r="J59" s="22">
        <f t="shared" si="7"/>
        <v>10.4</v>
      </c>
      <c r="K59" s="23">
        <f t="shared" si="8"/>
        <v>13</v>
      </c>
      <c r="L59" s="23">
        <f t="shared" si="9"/>
        <v>130</v>
      </c>
    </row>
    <row r="60" spans="1:12" x14ac:dyDescent="0.3">
      <c r="A60" s="1">
        <v>377</v>
      </c>
      <c r="B60" s="1">
        <v>27</v>
      </c>
      <c r="C60" s="22">
        <f t="shared" si="0"/>
        <v>0.13499999999999998</v>
      </c>
      <c r="D60" s="22">
        <f t="shared" si="1"/>
        <v>0.26999999999999996</v>
      </c>
      <c r="E60" s="22">
        <f t="shared" si="2"/>
        <v>0.53999999999999992</v>
      </c>
      <c r="F60" s="22">
        <f t="shared" si="3"/>
        <v>1.0799999999999998</v>
      </c>
      <c r="G60" s="22">
        <f t="shared" si="4"/>
        <v>1.3499999999999999</v>
      </c>
      <c r="H60" s="22">
        <f t="shared" si="5"/>
        <v>2.6999999999999997</v>
      </c>
      <c r="I60" s="22">
        <f t="shared" si="6"/>
        <v>5.3999999999999995</v>
      </c>
      <c r="J60" s="22">
        <f t="shared" si="7"/>
        <v>10.799999999999999</v>
      </c>
      <c r="K60" s="23">
        <f t="shared" si="8"/>
        <v>13.499999999999998</v>
      </c>
      <c r="L60" s="23">
        <f t="shared" si="9"/>
        <v>134.99999999999997</v>
      </c>
    </row>
    <row r="61" spans="1:12" x14ac:dyDescent="0.3">
      <c r="A61" s="1">
        <v>378</v>
      </c>
      <c r="B61" s="3">
        <v>28</v>
      </c>
      <c r="C61" s="22">
        <f t="shared" si="0"/>
        <v>0.14000000000000001</v>
      </c>
      <c r="D61" s="22">
        <f t="shared" si="1"/>
        <v>0.28000000000000003</v>
      </c>
      <c r="E61" s="22">
        <f t="shared" si="2"/>
        <v>0.56000000000000005</v>
      </c>
      <c r="F61" s="22">
        <f t="shared" si="3"/>
        <v>1.1200000000000001</v>
      </c>
      <c r="G61" s="22">
        <f t="shared" si="4"/>
        <v>1.4000000000000001</v>
      </c>
      <c r="H61" s="22">
        <f t="shared" si="5"/>
        <v>2.8000000000000003</v>
      </c>
      <c r="I61" s="22">
        <f t="shared" si="6"/>
        <v>5.6000000000000005</v>
      </c>
      <c r="J61" s="22">
        <f t="shared" si="7"/>
        <v>11.200000000000001</v>
      </c>
      <c r="K61" s="23">
        <f t="shared" si="8"/>
        <v>14.000000000000002</v>
      </c>
      <c r="L61" s="23">
        <f t="shared" si="9"/>
        <v>140</v>
      </c>
    </row>
    <row r="62" spans="1:12" x14ac:dyDescent="0.3">
      <c r="A62" s="1">
        <v>379</v>
      </c>
      <c r="B62" s="1">
        <v>29</v>
      </c>
      <c r="C62" s="22">
        <f t="shared" si="0"/>
        <v>0.14499999999999999</v>
      </c>
      <c r="D62" s="22">
        <f t="shared" si="1"/>
        <v>0.28999999999999998</v>
      </c>
      <c r="E62" s="22">
        <f t="shared" si="2"/>
        <v>0.57999999999999996</v>
      </c>
      <c r="F62" s="22">
        <f t="shared" si="3"/>
        <v>1.1599999999999999</v>
      </c>
      <c r="G62" s="22">
        <f t="shared" si="4"/>
        <v>1.45</v>
      </c>
      <c r="H62" s="22">
        <f t="shared" si="5"/>
        <v>2.9</v>
      </c>
      <c r="I62" s="22">
        <f t="shared" si="6"/>
        <v>5.8</v>
      </c>
      <c r="J62" s="22">
        <f t="shared" si="7"/>
        <v>11.6</v>
      </c>
      <c r="K62" s="23">
        <f t="shared" si="8"/>
        <v>14.499999999999998</v>
      </c>
      <c r="L62" s="23">
        <f t="shared" si="9"/>
        <v>145</v>
      </c>
    </row>
    <row r="63" spans="1:12" x14ac:dyDescent="0.3">
      <c r="A63" s="3">
        <v>380</v>
      </c>
      <c r="B63" s="3">
        <v>30</v>
      </c>
      <c r="C63" s="4">
        <f t="shared" si="0"/>
        <v>0.15</v>
      </c>
      <c r="D63" s="4">
        <f t="shared" si="1"/>
        <v>0.3</v>
      </c>
      <c r="E63" s="4">
        <f t="shared" si="2"/>
        <v>0.6</v>
      </c>
      <c r="F63" s="4">
        <f t="shared" si="3"/>
        <v>1.2</v>
      </c>
      <c r="G63" s="4">
        <f t="shared" si="4"/>
        <v>1.5</v>
      </c>
      <c r="H63" s="4">
        <f t="shared" ref="H63" si="10">(((350*A63)-122500)*2)/(7*(A63+350))</f>
        <v>4.1095890410958908</v>
      </c>
      <c r="I63" s="4">
        <f t="shared" si="6"/>
        <v>6</v>
      </c>
      <c r="J63" s="4">
        <f t="shared" si="7"/>
        <v>12</v>
      </c>
      <c r="K63" s="24">
        <f t="shared" si="8"/>
        <v>15</v>
      </c>
      <c r="L63" s="24">
        <f t="shared" si="9"/>
        <v>150</v>
      </c>
    </row>
  </sheetData>
  <mergeCells count="1">
    <mergeCell ref="A1:J1"/>
  </mergeCells>
  <phoneticPr fontId="1" type="noConversion"/>
  <printOptions horizontalCentered="1"/>
  <pageMargins left="0.59055118110236227" right="0.51181102362204722" top="0.74803149606299213" bottom="0.39370078740157483" header="0.31496062992125984" footer="0.31496062992125984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"/>
  <sheetViews>
    <sheetView view="pageBreakPreview" zoomScaleNormal="100" zoomScaleSheetLayoutView="100" workbookViewId="0">
      <selection activeCell="C29" sqref="C29"/>
    </sheetView>
  </sheetViews>
  <sheetFormatPr defaultRowHeight="15" customHeight="1" x14ac:dyDescent="0.3"/>
  <cols>
    <col min="1" max="2" width="10.125" style="8" customWidth="1"/>
    <col min="3" max="3" width="9" style="13"/>
    <col min="4" max="10" width="9" style="6"/>
    <col min="11" max="11" width="9.125" style="6" bestFit="1" customWidth="1"/>
    <col min="12" max="12" width="9.375" style="6" bestFit="1" customWidth="1"/>
    <col min="13" max="16384" width="9" style="6"/>
  </cols>
  <sheetData>
    <row r="1" spans="1:12" ht="24.95" customHeight="1" x14ac:dyDescent="0.3">
      <c r="A1" s="33" t="s">
        <v>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30.75" customHeight="1" x14ac:dyDescent="0.3">
      <c r="A2" s="11" t="s">
        <v>0</v>
      </c>
      <c r="B2" s="12"/>
      <c r="C2" s="16">
        <v>1</v>
      </c>
      <c r="D2" s="5">
        <v>2</v>
      </c>
      <c r="E2" s="5">
        <v>4</v>
      </c>
      <c r="F2" s="5">
        <v>8</v>
      </c>
      <c r="G2" s="5">
        <v>10</v>
      </c>
      <c r="H2" s="5">
        <v>20</v>
      </c>
      <c r="I2" s="5">
        <v>40</v>
      </c>
      <c r="J2" s="5">
        <v>80</v>
      </c>
      <c r="K2" s="18">
        <v>100</v>
      </c>
      <c r="L2" s="18">
        <v>1000</v>
      </c>
    </row>
    <row r="3" spans="1:12" ht="15" customHeight="1" x14ac:dyDescent="0.3">
      <c r="A3" s="5">
        <v>75</v>
      </c>
      <c r="B3" s="5">
        <v>-25</v>
      </c>
      <c r="C3" s="17">
        <f>(0.1/2)*(B3/100)*1</f>
        <v>-1.2500000000000001E-2</v>
      </c>
      <c r="D3" s="14">
        <f>C3*2</f>
        <v>-2.5000000000000001E-2</v>
      </c>
      <c r="E3" s="14">
        <f>C3*4</f>
        <v>-0.05</v>
      </c>
      <c r="F3" s="14">
        <f>C3*8</f>
        <v>-0.1</v>
      </c>
      <c r="G3" s="14">
        <f>C3*10</f>
        <v>-0.125</v>
      </c>
      <c r="H3" s="14">
        <f>C3*20</f>
        <v>-0.25</v>
      </c>
      <c r="I3" s="14">
        <f>C3*40</f>
        <v>-0.5</v>
      </c>
      <c r="J3" s="14">
        <f>C3*80</f>
        <v>-1</v>
      </c>
      <c r="K3" s="14">
        <f>C3*100</f>
        <v>-1.25</v>
      </c>
      <c r="L3" s="14">
        <f>C3*1000</f>
        <v>-12.5</v>
      </c>
    </row>
    <row r="4" spans="1:12" ht="15" customHeight="1" x14ac:dyDescent="0.3">
      <c r="A4" s="5">
        <v>76</v>
      </c>
      <c r="B4" s="5">
        <v>-24</v>
      </c>
      <c r="C4" s="17">
        <f t="shared" ref="C4:C53" si="0">(0.1/2)*(B4/100)*1</f>
        <v>-1.2E-2</v>
      </c>
      <c r="D4" s="14">
        <f t="shared" ref="D4:D53" si="1">C4*2</f>
        <v>-2.4E-2</v>
      </c>
      <c r="E4" s="14">
        <f t="shared" ref="E4:E53" si="2">C4*4</f>
        <v>-4.8000000000000001E-2</v>
      </c>
      <c r="F4" s="14">
        <f t="shared" ref="F4:F53" si="3">C4*8</f>
        <v>-9.6000000000000002E-2</v>
      </c>
      <c r="G4" s="14">
        <f t="shared" ref="G4:G53" si="4">C4*10</f>
        <v>-0.12</v>
      </c>
      <c r="H4" s="14">
        <f t="shared" ref="H4:H53" si="5">C4*20</f>
        <v>-0.24</v>
      </c>
      <c r="I4" s="14">
        <f t="shared" ref="I4:I53" si="6">C4*40</f>
        <v>-0.48</v>
      </c>
      <c r="J4" s="14">
        <f t="shared" ref="J4:J53" si="7">C4*80</f>
        <v>-0.96</v>
      </c>
      <c r="K4" s="14">
        <f t="shared" ref="K4:K53" si="8">C4*100</f>
        <v>-1.2</v>
      </c>
      <c r="L4" s="14">
        <f t="shared" ref="L4:L53" si="9">C4*1000</f>
        <v>-12</v>
      </c>
    </row>
    <row r="5" spans="1:12" ht="15" customHeight="1" x14ac:dyDescent="0.3">
      <c r="A5" s="5">
        <v>77</v>
      </c>
      <c r="B5" s="5">
        <v>-23</v>
      </c>
      <c r="C5" s="17">
        <f t="shared" si="0"/>
        <v>-1.1500000000000002E-2</v>
      </c>
      <c r="D5" s="14">
        <f t="shared" si="1"/>
        <v>-2.3000000000000003E-2</v>
      </c>
      <c r="E5" s="14">
        <f t="shared" si="2"/>
        <v>-4.6000000000000006E-2</v>
      </c>
      <c r="F5" s="14">
        <f t="shared" si="3"/>
        <v>-9.2000000000000012E-2</v>
      </c>
      <c r="G5" s="14">
        <f t="shared" si="4"/>
        <v>-0.11500000000000002</v>
      </c>
      <c r="H5" s="14">
        <f t="shared" si="5"/>
        <v>-0.23000000000000004</v>
      </c>
      <c r="I5" s="14">
        <f t="shared" si="6"/>
        <v>-0.46000000000000008</v>
      </c>
      <c r="J5" s="14">
        <f t="shared" si="7"/>
        <v>-0.92000000000000015</v>
      </c>
      <c r="K5" s="14">
        <f t="shared" si="8"/>
        <v>-1.1500000000000001</v>
      </c>
      <c r="L5" s="14">
        <f t="shared" si="9"/>
        <v>-11.500000000000002</v>
      </c>
    </row>
    <row r="6" spans="1:12" ht="15" customHeight="1" x14ac:dyDescent="0.3">
      <c r="A6" s="5">
        <v>78</v>
      </c>
      <c r="B6" s="5">
        <v>-22</v>
      </c>
      <c r="C6" s="17">
        <f t="shared" si="0"/>
        <v>-1.1000000000000001E-2</v>
      </c>
      <c r="D6" s="14">
        <f t="shared" si="1"/>
        <v>-2.2000000000000002E-2</v>
      </c>
      <c r="E6" s="14">
        <f t="shared" si="2"/>
        <v>-4.4000000000000004E-2</v>
      </c>
      <c r="F6" s="14">
        <f t="shared" si="3"/>
        <v>-8.8000000000000009E-2</v>
      </c>
      <c r="G6" s="14">
        <f t="shared" si="4"/>
        <v>-0.11000000000000001</v>
      </c>
      <c r="H6" s="14">
        <f t="shared" si="5"/>
        <v>-0.22000000000000003</v>
      </c>
      <c r="I6" s="14">
        <f t="shared" si="6"/>
        <v>-0.44000000000000006</v>
      </c>
      <c r="J6" s="14">
        <f t="shared" si="7"/>
        <v>-0.88000000000000012</v>
      </c>
      <c r="K6" s="14">
        <f t="shared" si="8"/>
        <v>-1.1000000000000001</v>
      </c>
      <c r="L6" s="14">
        <f t="shared" si="9"/>
        <v>-11.000000000000002</v>
      </c>
    </row>
    <row r="7" spans="1:12" ht="15" customHeight="1" x14ac:dyDescent="0.3">
      <c r="A7" s="5">
        <v>79</v>
      </c>
      <c r="B7" s="5">
        <v>-21</v>
      </c>
      <c r="C7" s="17">
        <f t="shared" si="0"/>
        <v>-1.0500000000000001E-2</v>
      </c>
      <c r="D7" s="14">
        <f t="shared" si="1"/>
        <v>-2.1000000000000001E-2</v>
      </c>
      <c r="E7" s="14">
        <f t="shared" si="2"/>
        <v>-4.2000000000000003E-2</v>
      </c>
      <c r="F7" s="14">
        <f t="shared" si="3"/>
        <v>-8.4000000000000005E-2</v>
      </c>
      <c r="G7" s="14">
        <f t="shared" si="4"/>
        <v>-0.10500000000000001</v>
      </c>
      <c r="H7" s="14">
        <f t="shared" si="5"/>
        <v>-0.21000000000000002</v>
      </c>
      <c r="I7" s="14">
        <f t="shared" si="6"/>
        <v>-0.42000000000000004</v>
      </c>
      <c r="J7" s="14">
        <f t="shared" si="7"/>
        <v>-0.84000000000000008</v>
      </c>
      <c r="K7" s="14">
        <f t="shared" si="8"/>
        <v>-1.05</v>
      </c>
      <c r="L7" s="14">
        <f t="shared" si="9"/>
        <v>-10.5</v>
      </c>
    </row>
    <row r="8" spans="1:12" ht="15" customHeight="1" x14ac:dyDescent="0.3">
      <c r="A8" s="7">
        <v>80</v>
      </c>
      <c r="B8" s="5">
        <v>-20</v>
      </c>
      <c r="C8" s="20">
        <f t="shared" si="0"/>
        <v>-1.0000000000000002E-2</v>
      </c>
      <c r="D8" s="15">
        <f t="shared" si="1"/>
        <v>-2.0000000000000004E-2</v>
      </c>
      <c r="E8" s="15">
        <f t="shared" si="2"/>
        <v>-4.0000000000000008E-2</v>
      </c>
      <c r="F8" s="15">
        <f t="shared" si="3"/>
        <v>-8.0000000000000016E-2</v>
      </c>
      <c r="G8" s="15">
        <f t="shared" si="4"/>
        <v>-0.10000000000000002</v>
      </c>
      <c r="H8" s="15">
        <f t="shared" si="5"/>
        <v>-0.20000000000000004</v>
      </c>
      <c r="I8" s="15">
        <f t="shared" si="6"/>
        <v>-0.40000000000000008</v>
      </c>
      <c r="J8" s="15">
        <f t="shared" si="7"/>
        <v>-0.80000000000000016</v>
      </c>
      <c r="K8" s="15">
        <f t="shared" si="8"/>
        <v>-1.0000000000000002</v>
      </c>
      <c r="L8" s="15">
        <f t="shared" si="9"/>
        <v>-10.000000000000002</v>
      </c>
    </row>
    <row r="9" spans="1:12" ht="15" customHeight="1" x14ac:dyDescent="0.3">
      <c r="A9" s="5">
        <v>81</v>
      </c>
      <c r="B9" s="5">
        <v>-19</v>
      </c>
      <c r="C9" s="17">
        <f t="shared" si="0"/>
        <v>-9.5000000000000015E-3</v>
      </c>
      <c r="D9" s="14">
        <f t="shared" si="1"/>
        <v>-1.9000000000000003E-2</v>
      </c>
      <c r="E9" s="14">
        <f t="shared" si="2"/>
        <v>-3.8000000000000006E-2</v>
      </c>
      <c r="F9" s="14">
        <f t="shared" si="3"/>
        <v>-7.6000000000000012E-2</v>
      </c>
      <c r="G9" s="14">
        <f t="shared" si="4"/>
        <v>-9.5000000000000015E-2</v>
      </c>
      <c r="H9" s="14">
        <f t="shared" si="5"/>
        <v>-0.19000000000000003</v>
      </c>
      <c r="I9" s="14">
        <f t="shared" si="6"/>
        <v>-0.38000000000000006</v>
      </c>
      <c r="J9" s="14">
        <f t="shared" si="7"/>
        <v>-0.76000000000000012</v>
      </c>
      <c r="K9" s="14">
        <f t="shared" si="8"/>
        <v>-0.95000000000000018</v>
      </c>
      <c r="L9" s="14">
        <f t="shared" si="9"/>
        <v>-9.5000000000000018</v>
      </c>
    </row>
    <row r="10" spans="1:12" ht="15" customHeight="1" x14ac:dyDescent="0.3">
      <c r="A10" s="5">
        <v>82</v>
      </c>
      <c r="B10" s="5">
        <v>-18</v>
      </c>
      <c r="C10" s="17">
        <f t="shared" si="0"/>
        <v>-8.9999999999999993E-3</v>
      </c>
      <c r="D10" s="14">
        <f t="shared" si="1"/>
        <v>-1.7999999999999999E-2</v>
      </c>
      <c r="E10" s="14">
        <f t="shared" si="2"/>
        <v>-3.5999999999999997E-2</v>
      </c>
      <c r="F10" s="14">
        <f t="shared" si="3"/>
        <v>-7.1999999999999995E-2</v>
      </c>
      <c r="G10" s="14">
        <f t="shared" si="4"/>
        <v>-0.09</v>
      </c>
      <c r="H10" s="14">
        <f t="shared" si="5"/>
        <v>-0.18</v>
      </c>
      <c r="I10" s="14">
        <f t="shared" si="6"/>
        <v>-0.36</v>
      </c>
      <c r="J10" s="14">
        <f t="shared" si="7"/>
        <v>-0.72</v>
      </c>
      <c r="K10" s="14">
        <f t="shared" si="8"/>
        <v>-0.89999999999999991</v>
      </c>
      <c r="L10" s="14">
        <f t="shared" si="9"/>
        <v>-9</v>
      </c>
    </row>
    <row r="11" spans="1:12" ht="15" customHeight="1" x14ac:dyDescent="0.3">
      <c r="A11" s="5">
        <v>83</v>
      </c>
      <c r="B11" s="5">
        <v>-17</v>
      </c>
      <c r="C11" s="17">
        <f t="shared" si="0"/>
        <v>-8.5000000000000006E-3</v>
      </c>
      <c r="D11" s="14">
        <f t="shared" si="1"/>
        <v>-1.7000000000000001E-2</v>
      </c>
      <c r="E11" s="14">
        <f t="shared" si="2"/>
        <v>-3.4000000000000002E-2</v>
      </c>
      <c r="F11" s="14">
        <f t="shared" si="3"/>
        <v>-6.8000000000000005E-2</v>
      </c>
      <c r="G11" s="14">
        <f t="shared" si="4"/>
        <v>-8.5000000000000006E-2</v>
      </c>
      <c r="H11" s="14">
        <f t="shared" si="5"/>
        <v>-0.17</v>
      </c>
      <c r="I11" s="14">
        <f t="shared" si="6"/>
        <v>-0.34</v>
      </c>
      <c r="J11" s="14">
        <f t="shared" si="7"/>
        <v>-0.68</v>
      </c>
      <c r="K11" s="14">
        <f t="shared" si="8"/>
        <v>-0.85000000000000009</v>
      </c>
      <c r="L11" s="14">
        <f t="shared" si="9"/>
        <v>-8.5</v>
      </c>
    </row>
    <row r="12" spans="1:12" ht="15" customHeight="1" x14ac:dyDescent="0.3">
      <c r="A12" s="5">
        <v>84</v>
      </c>
      <c r="B12" s="5">
        <v>-16</v>
      </c>
      <c r="C12" s="17">
        <f t="shared" si="0"/>
        <v>-8.0000000000000002E-3</v>
      </c>
      <c r="D12" s="14">
        <f t="shared" si="1"/>
        <v>-1.6E-2</v>
      </c>
      <c r="E12" s="14">
        <f t="shared" si="2"/>
        <v>-3.2000000000000001E-2</v>
      </c>
      <c r="F12" s="14">
        <f t="shared" si="3"/>
        <v>-6.4000000000000001E-2</v>
      </c>
      <c r="G12" s="14">
        <f t="shared" si="4"/>
        <v>-0.08</v>
      </c>
      <c r="H12" s="14">
        <f t="shared" si="5"/>
        <v>-0.16</v>
      </c>
      <c r="I12" s="14">
        <f t="shared" si="6"/>
        <v>-0.32</v>
      </c>
      <c r="J12" s="14">
        <f t="shared" si="7"/>
        <v>-0.64</v>
      </c>
      <c r="K12" s="14">
        <f t="shared" si="8"/>
        <v>-0.8</v>
      </c>
      <c r="L12" s="14">
        <f t="shared" si="9"/>
        <v>-8</v>
      </c>
    </row>
    <row r="13" spans="1:12" ht="15" customHeight="1" x14ac:dyDescent="0.3">
      <c r="A13" s="5">
        <v>85</v>
      </c>
      <c r="B13" s="5">
        <v>-15</v>
      </c>
      <c r="C13" s="17">
        <f t="shared" si="0"/>
        <v>-7.4999999999999997E-3</v>
      </c>
      <c r="D13" s="14">
        <f t="shared" si="1"/>
        <v>-1.4999999999999999E-2</v>
      </c>
      <c r="E13" s="14">
        <f t="shared" si="2"/>
        <v>-0.03</v>
      </c>
      <c r="F13" s="14">
        <f t="shared" si="3"/>
        <v>-0.06</v>
      </c>
      <c r="G13" s="14">
        <f t="shared" si="4"/>
        <v>-7.4999999999999997E-2</v>
      </c>
      <c r="H13" s="14">
        <f t="shared" si="5"/>
        <v>-0.15</v>
      </c>
      <c r="I13" s="14">
        <f t="shared" si="6"/>
        <v>-0.3</v>
      </c>
      <c r="J13" s="14">
        <f t="shared" si="7"/>
        <v>-0.6</v>
      </c>
      <c r="K13" s="14">
        <f t="shared" si="8"/>
        <v>-0.75</v>
      </c>
      <c r="L13" s="14">
        <f t="shared" si="9"/>
        <v>-7.5</v>
      </c>
    </row>
    <row r="14" spans="1:12" ht="15" customHeight="1" x14ac:dyDescent="0.3">
      <c r="A14" s="5">
        <v>86</v>
      </c>
      <c r="B14" s="5">
        <v>-14</v>
      </c>
      <c r="C14" s="17">
        <f t="shared" si="0"/>
        <v>-7.000000000000001E-3</v>
      </c>
      <c r="D14" s="14">
        <f t="shared" si="1"/>
        <v>-1.4000000000000002E-2</v>
      </c>
      <c r="E14" s="14">
        <f t="shared" si="2"/>
        <v>-2.8000000000000004E-2</v>
      </c>
      <c r="F14" s="14">
        <f t="shared" si="3"/>
        <v>-5.6000000000000008E-2</v>
      </c>
      <c r="G14" s="14">
        <f t="shared" si="4"/>
        <v>-7.0000000000000007E-2</v>
      </c>
      <c r="H14" s="14">
        <f t="shared" si="5"/>
        <v>-0.14000000000000001</v>
      </c>
      <c r="I14" s="14">
        <f t="shared" si="6"/>
        <v>-0.28000000000000003</v>
      </c>
      <c r="J14" s="14">
        <f t="shared" si="7"/>
        <v>-0.56000000000000005</v>
      </c>
      <c r="K14" s="14">
        <f t="shared" si="8"/>
        <v>-0.70000000000000007</v>
      </c>
      <c r="L14" s="14">
        <f t="shared" si="9"/>
        <v>-7.0000000000000009</v>
      </c>
    </row>
    <row r="15" spans="1:12" ht="15" customHeight="1" x14ac:dyDescent="0.3">
      <c r="A15" s="5">
        <v>87</v>
      </c>
      <c r="B15" s="5">
        <v>-13</v>
      </c>
      <c r="C15" s="17">
        <f t="shared" si="0"/>
        <v>-6.5000000000000006E-3</v>
      </c>
      <c r="D15" s="14">
        <f t="shared" si="1"/>
        <v>-1.3000000000000001E-2</v>
      </c>
      <c r="E15" s="14">
        <f t="shared" si="2"/>
        <v>-2.6000000000000002E-2</v>
      </c>
      <c r="F15" s="14">
        <f t="shared" si="3"/>
        <v>-5.2000000000000005E-2</v>
      </c>
      <c r="G15" s="14">
        <f t="shared" si="4"/>
        <v>-6.5000000000000002E-2</v>
      </c>
      <c r="H15" s="14">
        <f t="shared" si="5"/>
        <v>-0.13</v>
      </c>
      <c r="I15" s="14">
        <f t="shared" si="6"/>
        <v>-0.26</v>
      </c>
      <c r="J15" s="14">
        <f t="shared" si="7"/>
        <v>-0.52</v>
      </c>
      <c r="K15" s="14">
        <f t="shared" si="8"/>
        <v>-0.65</v>
      </c>
      <c r="L15" s="14">
        <f t="shared" si="9"/>
        <v>-6.5000000000000009</v>
      </c>
    </row>
    <row r="16" spans="1:12" ht="15" customHeight="1" x14ac:dyDescent="0.3">
      <c r="A16" s="5">
        <v>88</v>
      </c>
      <c r="B16" s="5">
        <v>-12</v>
      </c>
      <c r="C16" s="17">
        <f t="shared" si="0"/>
        <v>-6.0000000000000001E-3</v>
      </c>
      <c r="D16" s="14">
        <f t="shared" si="1"/>
        <v>-1.2E-2</v>
      </c>
      <c r="E16" s="14">
        <f t="shared" si="2"/>
        <v>-2.4E-2</v>
      </c>
      <c r="F16" s="14">
        <f t="shared" si="3"/>
        <v>-4.8000000000000001E-2</v>
      </c>
      <c r="G16" s="14">
        <f t="shared" si="4"/>
        <v>-0.06</v>
      </c>
      <c r="H16" s="14">
        <f t="shared" si="5"/>
        <v>-0.12</v>
      </c>
      <c r="I16" s="14">
        <f t="shared" si="6"/>
        <v>-0.24</v>
      </c>
      <c r="J16" s="14">
        <f t="shared" si="7"/>
        <v>-0.48</v>
      </c>
      <c r="K16" s="14">
        <f t="shared" si="8"/>
        <v>-0.6</v>
      </c>
      <c r="L16" s="14">
        <f t="shared" si="9"/>
        <v>-6</v>
      </c>
    </row>
    <row r="17" spans="1:12" ht="15" customHeight="1" x14ac:dyDescent="0.3">
      <c r="A17" s="5">
        <v>89</v>
      </c>
      <c r="B17" s="5">
        <v>-11</v>
      </c>
      <c r="C17" s="17">
        <f t="shared" si="0"/>
        <v>-5.5000000000000005E-3</v>
      </c>
      <c r="D17" s="14">
        <f t="shared" si="1"/>
        <v>-1.1000000000000001E-2</v>
      </c>
      <c r="E17" s="14">
        <f t="shared" si="2"/>
        <v>-2.2000000000000002E-2</v>
      </c>
      <c r="F17" s="14">
        <f t="shared" si="3"/>
        <v>-4.4000000000000004E-2</v>
      </c>
      <c r="G17" s="14">
        <f t="shared" si="4"/>
        <v>-5.5000000000000007E-2</v>
      </c>
      <c r="H17" s="14">
        <f t="shared" si="5"/>
        <v>-0.11000000000000001</v>
      </c>
      <c r="I17" s="14">
        <f t="shared" si="6"/>
        <v>-0.22000000000000003</v>
      </c>
      <c r="J17" s="14">
        <f t="shared" si="7"/>
        <v>-0.44000000000000006</v>
      </c>
      <c r="K17" s="14">
        <f t="shared" si="8"/>
        <v>-0.55000000000000004</v>
      </c>
      <c r="L17" s="14">
        <f t="shared" si="9"/>
        <v>-5.5000000000000009</v>
      </c>
    </row>
    <row r="18" spans="1:12" ht="15" customHeight="1" x14ac:dyDescent="0.3">
      <c r="A18" s="7">
        <v>90</v>
      </c>
      <c r="B18" s="5">
        <v>-10</v>
      </c>
      <c r="C18" s="20">
        <f t="shared" si="0"/>
        <v>-5.000000000000001E-3</v>
      </c>
      <c r="D18" s="15">
        <f t="shared" si="1"/>
        <v>-1.0000000000000002E-2</v>
      </c>
      <c r="E18" s="15">
        <f t="shared" si="2"/>
        <v>-2.0000000000000004E-2</v>
      </c>
      <c r="F18" s="15">
        <f t="shared" si="3"/>
        <v>-4.0000000000000008E-2</v>
      </c>
      <c r="G18" s="15">
        <f t="shared" si="4"/>
        <v>-5.000000000000001E-2</v>
      </c>
      <c r="H18" s="15">
        <f t="shared" si="5"/>
        <v>-0.10000000000000002</v>
      </c>
      <c r="I18" s="15">
        <f t="shared" si="6"/>
        <v>-0.20000000000000004</v>
      </c>
      <c r="J18" s="15">
        <f t="shared" si="7"/>
        <v>-0.40000000000000008</v>
      </c>
      <c r="K18" s="15">
        <f t="shared" si="8"/>
        <v>-0.50000000000000011</v>
      </c>
      <c r="L18" s="19">
        <f t="shared" si="9"/>
        <v>-5.0000000000000009</v>
      </c>
    </row>
    <row r="19" spans="1:12" ht="15" customHeight="1" x14ac:dyDescent="0.3">
      <c r="A19" s="5">
        <v>91</v>
      </c>
      <c r="B19" s="5">
        <v>-9</v>
      </c>
      <c r="C19" s="17">
        <f t="shared" si="0"/>
        <v>-4.4999999999999997E-3</v>
      </c>
      <c r="D19" s="14">
        <f t="shared" si="1"/>
        <v>-8.9999999999999993E-3</v>
      </c>
      <c r="E19" s="14">
        <f t="shared" si="2"/>
        <v>-1.7999999999999999E-2</v>
      </c>
      <c r="F19" s="14">
        <f t="shared" si="3"/>
        <v>-3.5999999999999997E-2</v>
      </c>
      <c r="G19" s="14">
        <f t="shared" si="4"/>
        <v>-4.4999999999999998E-2</v>
      </c>
      <c r="H19" s="14">
        <f t="shared" si="5"/>
        <v>-0.09</v>
      </c>
      <c r="I19" s="14">
        <f t="shared" si="6"/>
        <v>-0.18</v>
      </c>
      <c r="J19" s="14">
        <f t="shared" si="7"/>
        <v>-0.36</v>
      </c>
      <c r="K19" s="14">
        <f t="shared" si="8"/>
        <v>-0.44999999999999996</v>
      </c>
      <c r="L19" s="14">
        <f t="shared" si="9"/>
        <v>-4.5</v>
      </c>
    </row>
    <row r="20" spans="1:12" ht="15" customHeight="1" x14ac:dyDescent="0.3">
      <c r="A20" s="5">
        <v>92</v>
      </c>
      <c r="B20" s="5">
        <v>-8</v>
      </c>
      <c r="C20" s="17">
        <f t="shared" si="0"/>
        <v>-4.0000000000000001E-3</v>
      </c>
      <c r="D20" s="14">
        <f t="shared" si="1"/>
        <v>-8.0000000000000002E-3</v>
      </c>
      <c r="E20" s="14">
        <f t="shared" si="2"/>
        <v>-1.6E-2</v>
      </c>
      <c r="F20" s="14">
        <f t="shared" si="3"/>
        <v>-3.2000000000000001E-2</v>
      </c>
      <c r="G20" s="14">
        <f t="shared" si="4"/>
        <v>-0.04</v>
      </c>
      <c r="H20" s="14">
        <f t="shared" si="5"/>
        <v>-0.08</v>
      </c>
      <c r="I20" s="14">
        <f t="shared" si="6"/>
        <v>-0.16</v>
      </c>
      <c r="J20" s="14">
        <f t="shared" si="7"/>
        <v>-0.32</v>
      </c>
      <c r="K20" s="14">
        <f t="shared" si="8"/>
        <v>-0.4</v>
      </c>
      <c r="L20" s="14">
        <f t="shared" si="9"/>
        <v>-4</v>
      </c>
    </row>
    <row r="21" spans="1:12" ht="15" customHeight="1" x14ac:dyDescent="0.3">
      <c r="A21" s="5">
        <v>93</v>
      </c>
      <c r="B21" s="5">
        <v>-7</v>
      </c>
      <c r="C21" s="17">
        <f t="shared" si="0"/>
        <v>-3.5000000000000005E-3</v>
      </c>
      <c r="D21" s="14">
        <f t="shared" si="1"/>
        <v>-7.000000000000001E-3</v>
      </c>
      <c r="E21" s="14">
        <f t="shared" si="2"/>
        <v>-1.4000000000000002E-2</v>
      </c>
      <c r="F21" s="14">
        <f t="shared" si="3"/>
        <v>-2.8000000000000004E-2</v>
      </c>
      <c r="G21" s="14">
        <f t="shared" si="4"/>
        <v>-3.5000000000000003E-2</v>
      </c>
      <c r="H21" s="14">
        <f t="shared" si="5"/>
        <v>-7.0000000000000007E-2</v>
      </c>
      <c r="I21" s="14">
        <f t="shared" si="6"/>
        <v>-0.14000000000000001</v>
      </c>
      <c r="J21" s="14">
        <f t="shared" si="7"/>
        <v>-0.28000000000000003</v>
      </c>
      <c r="K21" s="14">
        <f t="shared" si="8"/>
        <v>-0.35000000000000003</v>
      </c>
      <c r="L21" s="14">
        <f t="shared" si="9"/>
        <v>-3.5000000000000004</v>
      </c>
    </row>
    <row r="22" spans="1:12" ht="15" customHeight="1" x14ac:dyDescent="0.3">
      <c r="A22" s="5">
        <v>94</v>
      </c>
      <c r="B22" s="5">
        <v>-6</v>
      </c>
      <c r="C22" s="17">
        <f t="shared" si="0"/>
        <v>-3.0000000000000001E-3</v>
      </c>
      <c r="D22" s="14">
        <f t="shared" si="1"/>
        <v>-6.0000000000000001E-3</v>
      </c>
      <c r="E22" s="14">
        <f t="shared" si="2"/>
        <v>-1.2E-2</v>
      </c>
      <c r="F22" s="14">
        <f t="shared" si="3"/>
        <v>-2.4E-2</v>
      </c>
      <c r="G22" s="14">
        <f t="shared" si="4"/>
        <v>-0.03</v>
      </c>
      <c r="H22" s="14">
        <f t="shared" si="5"/>
        <v>-0.06</v>
      </c>
      <c r="I22" s="14">
        <f t="shared" si="6"/>
        <v>-0.12</v>
      </c>
      <c r="J22" s="14">
        <f t="shared" si="7"/>
        <v>-0.24</v>
      </c>
      <c r="K22" s="14">
        <f t="shared" si="8"/>
        <v>-0.3</v>
      </c>
      <c r="L22" s="14">
        <f t="shared" si="9"/>
        <v>-3</v>
      </c>
    </row>
    <row r="23" spans="1:12" ht="15" customHeight="1" x14ac:dyDescent="0.3">
      <c r="A23" s="5">
        <v>95</v>
      </c>
      <c r="B23" s="5">
        <v>-5</v>
      </c>
      <c r="C23" s="17">
        <f t="shared" si="0"/>
        <v>-2.5000000000000005E-3</v>
      </c>
      <c r="D23" s="14">
        <f t="shared" si="1"/>
        <v>-5.000000000000001E-3</v>
      </c>
      <c r="E23" s="14">
        <f t="shared" si="2"/>
        <v>-1.0000000000000002E-2</v>
      </c>
      <c r="F23" s="14">
        <f t="shared" si="3"/>
        <v>-2.0000000000000004E-2</v>
      </c>
      <c r="G23" s="14">
        <f t="shared" si="4"/>
        <v>-2.5000000000000005E-2</v>
      </c>
      <c r="H23" s="14">
        <f t="shared" si="5"/>
        <v>-5.000000000000001E-2</v>
      </c>
      <c r="I23" s="14">
        <f t="shared" si="6"/>
        <v>-0.10000000000000002</v>
      </c>
      <c r="J23" s="14">
        <f t="shared" si="7"/>
        <v>-0.20000000000000004</v>
      </c>
      <c r="K23" s="14">
        <f t="shared" si="8"/>
        <v>-0.25000000000000006</v>
      </c>
      <c r="L23" s="14">
        <f t="shared" si="9"/>
        <v>-2.5000000000000004</v>
      </c>
    </row>
    <row r="24" spans="1:12" ht="15" customHeight="1" x14ac:dyDescent="0.3">
      <c r="A24" s="5">
        <v>96</v>
      </c>
      <c r="B24" s="5">
        <v>-4</v>
      </c>
      <c r="C24" s="17">
        <f t="shared" si="0"/>
        <v>-2E-3</v>
      </c>
      <c r="D24" s="14">
        <f t="shared" si="1"/>
        <v>-4.0000000000000001E-3</v>
      </c>
      <c r="E24" s="14">
        <f t="shared" si="2"/>
        <v>-8.0000000000000002E-3</v>
      </c>
      <c r="F24" s="14">
        <f t="shared" si="3"/>
        <v>-1.6E-2</v>
      </c>
      <c r="G24" s="14">
        <f t="shared" si="4"/>
        <v>-0.02</v>
      </c>
      <c r="H24" s="14">
        <f t="shared" si="5"/>
        <v>-0.04</v>
      </c>
      <c r="I24" s="14">
        <f t="shared" si="6"/>
        <v>-0.08</v>
      </c>
      <c r="J24" s="14">
        <f t="shared" si="7"/>
        <v>-0.16</v>
      </c>
      <c r="K24" s="14">
        <f t="shared" si="8"/>
        <v>-0.2</v>
      </c>
      <c r="L24" s="14">
        <f t="shared" si="9"/>
        <v>-2</v>
      </c>
    </row>
    <row r="25" spans="1:12" ht="15" customHeight="1" x14ac:dyDescent="0.3">
      <c r="A25" s="5">
        <v>97</v>
      </c>
      <c r="B25" s="5">
        <v>-3</v>
      </c>
      <c r="C25" s="17">
        <f t="shared" si="0"/>
        <v>-1.5E-3</v>
      </c>
      <c r="D25" s="14">
        <f t="shared" si="1"/>
        <v>-3.0000000000000001E-3</v>
      </c>
      <c r="E25" s="14">
        <f t="shared" si="2"/>
        <v>-6.0000000000000001E-3</v>
      </c>
      <c r="F25" s="14">
        <f t="shared" si="3"/>
        <v>-1.2E-2</v>
      </c>
      <c r="G25" s="14">
        <f t="shared" si="4"/>
        <v>-1.4999999999999999E-2</v>
      </c>
      <c r="H25" s="14">
        <f t="shared" si="5"/>
        <v>-0.03</v>
      </c>
      <c r="I25" s="14">
        <f t="shared" si="6"/>
        <v>-0.06</v>
      </c>
      <c r="J25" s="14">
        <f t="shared" si="7"/>
        <v>-0.12</v>
      </c>
      <c r="K25" s="14">
        <f t="shared" si="8"/>
        <v>-0.15</v>
      </c>
      <c r="L25" s="14">
        <f t="shared" si="9"/>
        <v>-1.5</v>
      </c>
    </row>
    <row r="26" spans="1:12" ht="15" customHeight="1" x14ac:dyDescent="0.3">
      <c r="A26" s="5">
        <v>98</v>
      </c>
      <c r="B26" s="5">
        <v>-2</v>
      </c>
      <c r="C26" s="17">
        <f t="shared" si="0"/>
        <v>-1E-3</v>
      </c>
      <c r="D26" s="14">
        <f t="shared" si="1"/>
        <v>-2E-3</v>
      </c>
      <c r="E26" s="14">
        <f t="shared" si="2"/>
        <v>-4.0000000000000001E-3</v>
      </c>
      <c r="F26" s="14">
        <f t="shared" si="3"/>
        <v>-8.0000000000000002E-3</v>
      </c>
      <c r="G26" s="14">
        <f t="shared" si="4"/>
        <v>-0.01</v>
      </c>
      <c r="H26" s="14">
        <f t="shared" si="5"/>
        <v>-0.02</v>
      </c>
      <c r="I26" s="14">
        <f t="shared" si="6"/>
        <v>-0.04</v>
      </c>
      <c r="J26" s="14">
        <f t="shared" si="7"/>
        <v>-0.08</v>
      </c>
      <c r="K26" s="14">
        <f t="shared" si="8"/>
        <v>-0.1</v>
      </c>
      <c r="L26" s="14">
        <f t="shared" si="9"/>
        <v>-1</v>
      </c>
    </row>
    <row r="27" spans="1:12" ht="15" customHeight="1" x14ac:dyDescent="0.3">
      <c r="A27" s="5">
        <v>99</v>
      </c>
      <c r="B27" s="5">
        <v>-1</v>
      </c>
      <c r="C27" s="17">
        <f t="shared" si="0"/>
        <v>-5.0000000000000001E-4</v>
      </c>
      <c r="D27" s="14">
        <f t="shared" si="1"/>
        <v>-1E-3</v>
      </c>
      <c r="E27" s="14">
        <f t="shared" si="2"/>
        <v>-2E-3</v>
      </c>
      <c r="F27" s="14">
        <f t="shared" si="3"/>
        <v>-4.0000000000000001E-3</v>
      </c>
      <c r="G27" s="14">
        <f t="shared" si="4"/>
        <v>-5.0000000000000001E-3</v>
      </c>
      <c r="H27" s="14">
        <f t="shared" si="5"/>
        <v>-0.01</v>
      </c>
      <c r="I27" s="14">
        <f t="shared" si="6"/>
        <v>-0.02</v>
      </c>
      <c r="J27" s="14">
        <f t="shared" si="7"/>
        <v>-0.04</v>
      </c>
      <c r="K27" s="14">
        <f t="shared" si="8"/>
        <v>-0.05</v>
      </c>
      <c r="L27" s="14">
        <f t="shared" si="9"/>
        <v>-0.5</v>
      </c>
    </row>
    <row r="28" spans="1:12" ht="15" customHeight="1" x14ac:dyDescent="0.3">
      <c r="A28" s="7">
        <v>100</v>
      </c>
      <c r="B28" s="7">
        <v>0</v>
      </c>
      <c r="C28" s="20">
        <f t="shared" si="0"/>
        <v>0</v>
      </c>
      <c r="D28" s="15">
        <f t="shared" si="1"/>
        <v>0</v>
      </c>
      <c r="E28" s="15">
        <f t="shared" si="2"/>
        <v>0</v>
      </c>
      <c r="F28" s="15">
        <f t="shared" si="3"/>
        <v>0</v>
      </c>
      <c r="G28" s="15">
        <f t="shared" si="4"/>
        <v>0</v>
      </c>
      <c r="H28" s="15">
        <f t="shared" si="5"/>
        <v>0</v>
      </c>
      <c r="I28" s="15">
        <f t="shared" si="6"/>
        <v>0</v>
      </c>
      <c r="J28" s="15">
        <f t="shared" si="7"/>
        <v>0</v>
      </c>
      <c r="K28" s="15">
        <f t="shared" si="8"/>
        <v>0</v>
      </c>
      <c r="L28" s="15">
        <f t="shared" si="9"/>
        <v>0</v>
      </c>
    </row>
    <row r="29" spans="1:12" ht="15" customHeight="1" x14ac:dyDescent="0.3">
      <c r="A29" s="5">
        <v>101</v>
      </c>
      <c r="B29" s="5">
        <v>1</v>
      </c>
      <c r="C29" s="17">
        <f>(0.1/2)*(B29/100)*1</f>
        <v>5.0000000000000001E-4</v>
      </c>
      <c r="D29" s="14">
        <f t="shared" si="1"/>
        <v>1E-3</v>
      </c>
      <c r="E29" s="14">
        <f t="shared" si="2"/>
        <v>2E-3</v>
      </c>
      <c r="F29" s="14">
        <f t="shared" si="3"/>
        <v>4.0000000000000001E-3</v>
      </c>
      <c r="G29" s="14">
        <f t="shared" si="4"/>
        <v>5.0000000000000001E-3</v>
      </c>
      <c r="H29" s="14">
        <f t="shared" si="5"/>
        <v>0.01</v>
      </c>
      <c r="I29" s="14">
        <f t="shared" si="6"/>
        <v>0.02</v>
      </c>
      <c r="J29" s="14">
        <f t="shared" si="7"/>
        <v>0.04</v>
      </c>
      <c r="K29" s="14">
        <f t="shared" si="8"/>
        <v>0.05</v>
      </c>
      <c r="L29" s="14">
        <f t="shared" si="9"/>
        <v>0.5</v>
      </c>
    </row>
    <row r="30" spans="1:12" ht="15" customHeight="1" x14ac:dyDescent="0.3">
      <c r="A30" s="5">
        <v>102</v>
      </c>
      <c r="B30" s="5">
        <v>2</v>
      </c>
      <c r="C30" s="17">
        <f t="shared" si="0"/>
        <v>1E-3</v>
      </c>
      <c r="D30" s="14">
        <f t="shared" si="1"/>
        <v>2E-3</v>
      </c>
      <c r="E30" s="14">
        <f t="shared" si="2"/>
        <v>4.0000000000000001E-3</v>
      </c>
      <c r="F30" s="14">
        <f t="shared" si="3"/>
        <v>8.0000000000000002E-3</v>
      </c>
      <c r="G30" s="14">
        <f t="shared" si="4"/>
        <v>0.01</v>
      </c>
      <c r="H30" s="14">
        <f t="shared" si="5"/>
        <v>0.02</v>
      </c>
      <c r="I30" s="14">
        <f t="shared" si="6"/>
        <v>0.04</v>
      </c>
      <c r="J30" s="14">
        <f t="shared" si="7"/>
        <v>0.08</v>
      </c>
      <c r="K30" s="14">
        <f t="shared" si="8"/>
        <v>0.1</v>
      </c>
      <c r="L30" s="14">
        <f t="shared" si="9"/>
        <v>1</v>
      </c>
    </row>
    <row r="31" spans="1:12" ht="15" customHeight="1" x14ac:dyDescent="0.3">
      <c r="A31" s="5">
        <v>103</v>
      </c>
      <c r="B31" s="5">
        <v>3</v>
      </c>
      <c r="C31" s="17">
        <f t="shared" si="0"/>
        <v>1.5E-3</v>
      </c>
      <c r="D31" s="14">
        <f t="shared" si="1"/>
        <v>3.0000000000000001E-3</v>
      </c>
      <c r="E31" s="14">
        <f t="shared" si="2"/>
        <v>6.0000000000000001E-3</v>
      </c>
      <c r="F31" s="14">
        <f t="shared" si="3"/>
        <v>1.2E-2</v>
      </c>
      <c r="G31" s="14">
        <f t="shared" si="4"/>
        <v>1.4999999999999999E-2</v>
      </c>
      <c r="H31" s="14">
        <f t="shared" si="5"/>
        <v>0.03</v>
      </c>
      <c r="I31" s="14">
        <f t="shared" si="6"/>
        <v>0.06</v>
      </c>
      <c r="J31" s="14">
        <f t="shared" si="7"/>
        <v>0.12</v>
      </c>
      <c r="K31" s="14">
        <f t="shared" si="8"/>
        <v>0.15</v>
      </c>
      <c r="L31" s="14">
        <f t="shared" si="9"/>
        <v>1.5</v>
      </c>
    </row>
    <row r="32" spans="1:12" ht="15" customHeight="1" x14ac:dyDescent="0.3">
      <c r="A32" s="5">
        <v>104</v>
      </c>
      <c r="B32" s="5">
        <v>4</v>
      </c>
      <c r="C32" s="17">
        <f t="shared" si="0"/>
        <v>2E-3</v>
      </c>
      <c r="D32" s="14">
        <f t="shared" si="1"/>
        <v>4.0000000000000001E-3</v>
      </c>
      <c r="E32" s="14">
        <f t="shared" si="2"/>
        <v>8.0000000000000002E-3</v>
      </c>
      <c r="F32" s="14">
        <f t="shared" si="3"/>
        <v>1.6E-2</v>
      </c>
      <c r="G32" s="14">
        <f t="shared" si="4"/>
        <v>0.02</v>
      </c>
      <c r="H32" s="14">
        <f t="shared" si="5"/>
        <v>0.04</v>
      </c>
      <c r="I32" s="14">
        <f t="shared" si="6"/>
        <v>0.08</v>
      </c>
      <c r="J32" s="14">
        <f t="shared" si="7"/>
        <v>0.16</v>
      </c>
      <c r="K32" s="14">
        <f t="shared" si="8"/>
        <v>0.2</v>
      </c>
      <c r="L32" s="14">
        <f t="shared" si="9"/>
        <v>2</v>
      </c>
    </row>
    <row r="33" spans="1:12" ht="15" customHeight="1" x14ac:dyDescent="0.3">
      <c r="A33" s="5">
        <v>105</v>
      </c>
      <c r="B33" s="5">
        <v>5</v>
      </c>
      <c r="C33" s="17">
        <f t="shared" si="0"/>
        <v>2.5000000000000005E-3</v>
      </c>
      <c r="D33" s="14">
        <f t="shared" si="1"/>
        <v>5.000000000000001E-3</v>
      </c>
      <c r="E33" s="14">
        <f t="shared" si="2"/>
        <v>1.0000000000000002E-2</v>
      </c>
      <c r="F33" s="14">
        <f t="shared" si="3"/>
        <v>2.0000000000000004E-2</v>
      </c>
      <c r="G33" s="14">
        <f t="shared" si="4"/>
        <v>2.5000000000000005E-2</v>
      </c>
      <c r="H33" s="14">
        <f t="shared" si="5"/>
        <v>5.000000000000001E-2</v>
      </c>
      <c r="I33" s="14">
        <f t="shared" si="6"/>
        <v>0.10000000000000002</v>
      </c>
      <c r="J33" s="14">
        <f t="shared" si="7"/>
        <v>0.20000000000000004</v>
      </c>
      <c r="K33" s="14">
        <f t="shared" si="8"/>
        <v>0.25000000000000006</v>
      </c>
      <c r="L33" s="14">
        <f t="shared" si="9"/>
        <v>2.5000000000000004</v>
      </c>
    </row>
    <row r="34" spans="1:12" ht="15" customHeight="1" x14ac:dyDescent="0.3">
      <c r="A34" s="5">
        <v>106</v>
      </c>
      <c r="B34" s="5">
        <v>6</v>
      </c>
      <c r="C34" s="17">
        <f t="shared" si="0"/>
        <v>3.0000000000000001E-3</v>
      </c>
      <c r="D34" s="14">
        <f t="shared" si="1"/>
        <v>6.0000000000000001E-3</v>
      </c>
      <c r="E34" s="14">
        <f t="shared" si="2"/>
        <v>1.2E-2</v>
      </c>
      <c r="F34" s="14">
        <f t="shared" si="3"/>
        <v>2.4E-2</v>
      </c>
      <c r="G34" s="14">
        <f t="shared" si="4"/>
        <v>0.03</v>
      </c>
      <c r="H34" s="14">
        <f t="shared" si="5"/>
        <v>0.06</v>
      </c>
      <c r="I34" s="14">
        <f t="shared" si="6"/>
        <v>0.12</v>
      </c>
      <c r="J34" s="14">
        <f t="shared" si="7"/>
        <v>0.24</v>
      </c>
      <c r="K34" s="14">
        <f t="shared" si="8"/>
        <v>0.3</v>
      </c>
      <c r="L34" s="14">
        <f t="shared" si="9"/>
        <v>3</v>
      </c>
    </row>
    <row r="35" spans="1:12" ht="15" customHeight="1" x14ac:dyDescent="0.3">
      <c r="A35" s="5">
        <v>107</v>
      </c>
      <c r="B35" s="5">
        <v>7</v>
      </c>
      <c r="C35" s="17">
        <f t="shared" si="0"/>
        <v>3.5000000000000005E-3</v>
      </c>
      <c r="D35" s="14">
        <f t="shared" si="1"/>
        <v>7.000000000000001E-3</v>
      </c>
      <c r="E35" s="14">
        <f t="shared" si="2"/>
        <v>1.4000000000000002E-2</v>
      </c>
      <c r="F35" s="14">
        <f t="shared" si="3"/>
        <v>2.8000000000000004E-2</v>
      </c>
      <c r="G35" s="14">
        <f t="shared" si="4"/>
        <v>3.5000000000000003E-2</v>
      </c>
      <c r="H35" s="14">
        <f t="shared" si="5"/>
        <v>7.0000000000000007E-2</v>
      </c>
      <c r="I35" s="14">
        <f t="shared" si="6"/>
        <v>0.14000000000000001</v>
      </c>
      <c r="J35" s="14">
        <f t="shared" si="7"/>
        <v>0.28000000000000003</v>
      </c>
      <c r="K35" s="14">
        <f t="shared" si="8"/>
        <v>0.35000000000000003</v>
      </c>
      <c r="L35" s="14">
        <f t="shared" si="9"/>
        <v>3.5000000000000004</v>
      </c>
    </row>
    <row r="36" spans="1:12" ht="15" customHeight="1" x14ac:dyDescent="0.3">
      <c r="A36" s="5">
        <v>108</v>
      </c>
      <c r="B36" s="5">
        <v>8</v>
      </c>
      <c r="C36" s="17">
        <f t="shared" si="0"/>
        <v>4.0000000000000001E-3</v>
      </c>
      <c r="D36" s="14">
        <f t="shared" si="1"/>
        <v>8.0000000000000002E-3</v>
      </c>
      <c r="E36" s="14">
        <f t="shared" si="2"/>
        <v>1.6E-2</v>
      </c>
      <c r="F36" s="14">
        <f t="shared" si="3"/>
        <v>3.2000000000000001E-2</v>
      </c>
      <c r="G36" s="14">
        <f t="shared" si="4"/>
        <v>0.04</v>
      </c>
      <c r="H36" s="14">
        <f t="shared" si="5"/>
        <v>0.08</v>
      </c>
      <c r="I36" s="14">
        <f t="shared" si="6"/>
        <v>0.16</v>
      </c>
      <c r="J36" s="14">
        <f t="shared" si="7"/>
        <v>0.32</v>
      </c>
      <c r="K36" s="14">
        <f t="shared" si="8"/>
        <v>0.4</v>
      </c>
      <c r="L36" s="14">
        <f t="shared" si="9"/>
        <v>4</v>
      </c>
    </row>
    <row r="37" spans="1:12" ht="15" customHeight="1" x14ac:dyDescent="0.3">
      <c r="A37" s="5">
        <v>109</v>
      </c>
      <c r="B37" s="5">
        <v>9</v>
      </c>
      <c r="C37" s="17">
        <f t="shared" si="0"/>
        <v>4.4999999999999997E-3</v>
      </c>
      <c r="D37" s="14">
        <f t="shared" si="1"/>
        <v>8.9999999999999993E-3</v>
      </c>
      <c r="E37" s="14">
        <f t="shared" si="2"/>
        <v>1.7999999999999999E-2</v>
      </c>
      <c r="F37" s="14">
        <f t="shared" si="3"/>
        <v>3.5999999999999997E-2</v>
      </c>
      <c r="G37" s="14">
        <f t="shared" si="4"/>
        <v>4.4999999999999998E-2</v>
      </c>
      <c r="H37" s="14">
        <f t="shared" si="5"/>
        <v>0.09</v>
      </c>
      <c r="I37" s="14">
        <f t="shared" si="6"/>
        <v>0.18</v>
      </c>
      <c r="J37" s="14">
        <f t="shared" si="7"/>
        <v>0.36</v>
      </c>
      <c r="K37" s="14">
        <f t="shared" si="8"/>
        <v>0.44999999999999996</v>
      </c>
      <c r="L37" s="14">
        <f t="shared" si="9"/>
        <v>4.5</v>
      </c>
    </row>
    <row r="38" spans="1:12" ht="15" customHeight="1" x14ac:dyDescent="0.3">
      <c r="A38" s="7">
        <v>110</v>
      </c>
      <c r="B38" s="5">
        <v>10</v>
      </c>
      <c r="C38" s="20">
        <f t="shared" si="0"/>
        <v>5.000000000000001E-3</v>
      </c>
      <c r="D38" s="15">
        <f t="shared" si="1"/>
        <v>1.0000000000000002E-2</v>
      </c>
      <c r="E38" s="15">
        <f t="shared" si="2"/>
        <v>2.0000000000000004E-2</v>
      </c>
      <c r="F38" s="15">
        <f t="shared" si="3"/>
        <v>4.0000000000000008E-2</v>
      </c>
      <c r="G38" s="15">
        <f t="shared" si="4"/>
        <v>5.000000000000001E-2</v>
      </c>
      <c r="H38" s="15">
        <f t="shared" si="5"/>
        <v>0.10000000000000002</v>
      </c>
      <c r="I38" s="15">
        <f t="shared" si="6"/>
        <v>0.20000000000000004</v>
      </c>
      <c r="J38" s="15">
        <f t="shared" si="7"/>
        <v>0.40000000000000008</v>
      </c>
      <c r="K38" s="15">
        <f t="shared" si="8"/>
        <v>0.50000000000000011</v>
      </c>
      <c r="L38" s="19">
        <f t="shared" si="9"/>
        <v>5.0000000000000009</v>
      </c>
    </row>
    <row r="39" spans="1:12" ht="15" customHeight="1" x14ac:dyDescent="0.3">
      <c r="A39" s="5">
        <v>111</v>
      </c>
      <c r="B39" s="5">
        <v>11</v>
      </c>
      <c r="C39" s="17">
        <f t="shared" si="0"/>
        <v>5.5000000000000005E-3</v>
      </c>
      <c r="D39" s="14">
        <f t="shared" si="1"/>
        <v>1.1000000000000001E-2</v>
      </c>
      <c r="E39" s="14">
        <f t="shared" si="2"/>
        <v>2.2000000000000002E-2</v>
      </c>
      <c r="F39" s="14">
        <f t="shared" si="3"/>
        <v>4.4000000000000004E-2</v>
      </c>
      <c r="G39" s="14">
        <f t="shared" si="4"/>
        <v>5.5000000000000007E-2</v>
      </c>
      <c r="H39" s="14">
        <f t="shared" si="5"/>
        <v>0.11000000000000001</v>
      </c>
      <c r="I39" s="14">
        <f t="shared" si="6"/>
        <v>0.22000000000000003</v>
      </c>
      <c r="J39" s="14">
        <f t="shared" si="7"/>
        <v>0.44000000000000006</v>
      </c>
      <c r="K39" s="14">
        <f t="shared" si="8"/>
        <v>0.55000000000000004</v>
      </c>
      <c r="L39" s="14">
        <f t="shared" si="9"/>
        <v>5.5000000000000009</v>
      </c>
    </row>
    <row r="40" spans="1:12" ht="15" customHeight="1" x14ac:dyDescent="0.3">
      <c r="A40" s="5">
        <v>112</v>
      </c>
      <c r="B40" s="5">
        <v>12</v>
      </c>
      <c r="C40" s="17">
        <f t="shared" si="0"/>
        <v>6.0000000000000001E-3</v>
      </c>
      <c r="D40" s="14">
        <f t="shared" si="1"/>
        <v>1.2E-2</v>
      </c>
      <c r="E40" s="14">
        <f t="shared" si="2"/>
        <v>2.4E-2</v>
      </c>
      <c r="F40" s="14">
        <f t="shared" si="3"/>
        <v>4.8000000000000001E-2</v>
      </c>
      <c r="G40" s="14">
        <f t="shared" si="4"/>
        <v>0.06</v>
      </c>
      <c r="H40" s="14">
        <f t="shared" si="5"/>
        <v>0.12</v>
      </c>
      <c r="I40" s="14">
        <f t="shared" si="6"/>
        <v>0.24</v>
      </c>
      <c r="J40" s="14">
        <f t="shared" si="7"/>
        <v>0.48</v>
      </c>
      <c r="K40" s="14">
        <f t="shared" si="8"/>
        <v>0.6</v>
      </c>
      <c r="L40" s="14">
        <f t="shared" si="9"/>
        <v>6</v>
      </c>
    </row>
    <row r="41" spans="1:12" ht="15" customHeight="1" x14ac:dyDescent="0.3">
      <c r="A41" s="5">
        <v>113</v>
      </c>
      <c r="B41" s="5">
        <v>13</v>
      </c>
      <c r="C41" s="17">
        <f t="shared" si="0"/>
        <v>6.5000000000000006E-3</v>
      </c>
      <c r="D41" s="14">
        <f t="shared" si="1"/>
        <v>1.3000000000000001E-2</v>
      </c>
      <c r="E41" s="14">
        <f t="shared" si="2"/>
        <v>2.6000000000000002E-2</v>
      </c>
      <c r="F41" s="14">
        <f t="shared" si="3"/>
        <v>5.2000000000000005E-2</v>
      </c>
      <c r="G41" s="14">
        <f t="shared" si="4"/>
        <v>6.5000000000000002E-2</v>
      </c>
      <c r="H41" s="14">
        <f t="shared" si="5"/>
        <v>0.13</v>
      </c>
      <c r="I41" s="14">
        <f t="shared" si="6"/>
        <v>0.26</v>
      </c>
      <c r="J41" s="14">
        <f t="shared" si="7"/>
        <v>0.52</v>
      </c>
      <c r="K41" s="14">
        <f t="shared" si="8"/>
        <v>0.65</v>
      </c>
      <c r="L41" s="14">
        <f t="shared" si="9"/>
        <v>6.5000000000000009</v>
      </c>
    </row>
    <row r="42" spans="1:12" ht="15" customHeight="1" x14ac:dyDescent="0.3">
      <c r="A42" s="5">
        <v>114</v>
      </c>
      <c r="B42" s="5">
        <v>14</v>
      </c>
      <c r="C42" s="17">
        <f t="shared" si="0"/>
        <v>7.000000000000001E-3</v>
      </c>
      <c r="D42" s="14">
        <f t="shared" si="1"/>
        <v>1.4000000000000002E-2</v>
      </c>
      <c r="E42" s="14">
        <f t="shared" si="2"/>
        <v>2.8000000000000004E-2</v>
      </c>
      <c r="F42" s="14">
        <f t="shared" si="3"/>
        <v>5.6000000000000008E-2</v>
      </c>
      <c r="G42" s="14">
        <f t="shared" si="4"/>
        <v>7.0000000000000007E-2</v>
      </c>
      <c r="H42" s="14">
        <f t="shared" si="5"/>
        <v>0.14000000000000001</v>
      </c>
      <c r="I42" s="14">
        <f t="shared" si="6"/>
        <v>0.28000000000000003</v>
      </c>
      <c r="J42" s="14">
        <f t="shared" si="7"/>
        <v>0.56000000000000005</v>
      </c>
      <c r="K42" s="14">
        <f t="shared" si="8"/>
        <v>0.70000000000000007</v>
      </c>
      <c r="L42" s="14">
        <f t="shared" si="9"/>
        <v>7.0000000000000009</v>
      </c>
    </row>
    <row r="43" spans="1:12" ht="15" customHeight="1" x14ac:dyDescent="0.3">
      <c r="A43" s="5">
        <v>115</v>
      </c>
      <c r="B43" s="5">
        <v>15</v>
      </c>
      <c r="C43" s="17">
        <f t="shared" si="0"/>
        <v>7.4999999999999997E-3</v>
      </c>
      <c r="D43" s="14">
        <f t="shared" si="1"/>
        <v>1.4999999999999999E-2</v>
      </c>
      <c r="E43" s="14">
        <f t="shared" si="2"/>
        <v>0.03</v>
      </c>
      <c r="F43" s="14">
        <f t="shared" si="3"/>
        <v>0.06</v>
      </c>
      <c r="G43" s="14">
        <f t="shared" si="4"/>
        <v>7.4999999999999997E-2</v>
      </c>
      <c r="H43" s="14">
        <f t="shared" si="5"/>
        <v>0.15</v>
      </c>
      <c r="I43" s="14">
        <f t="shared" si="6"/>
        <v>0.3</v>
      </c>
      <c r="J43" s="14">
        <f t="shared" si="7"/>
        <v>0.6</v>
      </c>
      <c r="K43" s="14">
        <f t="shared" si="8"/>
        <v>0.75</v>
      </c>
      <c r="L43" s="14">
        <f t="shared" si="9"/>
        <v>7.5</v>
      </c>
    </row>
    <row r="44" spans="1:12" ht="15" customHeight="1" x14ac:dyDescent="0.3">
      <c r="A44" s="5">
        <v>116</v>
      </c>
      <c r="B44" s="5">
        <v>16</v>
      </c>
      <c r="C44" s="17">
        <f t="shared" si="0"/>
        <v>8.0000000000000002E-3</v>
      </c>
      <c r="D44" s="14">
        <f t="shared" si="1"/>
        <v>1.6E-2</v>
      </c>
      <c r="E44" s="14">
        <f t="shared" si="2"/>
        <v>3.2000000000000001E-2</v>
      </c>
      <c r="F44" s="14">
        <f t="shared" si="3"/>
        <v>6.4000000000000001E-2</v>
      </c>
      <c r="G44" s="14">
        <f t="shared" si="4"/>
        <v>0.08</v>
      </c>
      <c r="H44" s="14">
        <f t="shared" si="5"/>
        <v>0.16</v>
      </c>
      <c r="I44" s="14">
        <f t="shared" si="6"/>
        <v>0.32</v>
      </c>
      <c r="J44" s="14">
        <f t="shared" si="7"/>
        <v>0.64</v>
      </c>
      <c r="K44" s="14">
        <f t="shared" si="8"/>
        <v>0.8</v>
      </c>
      <c r="L44" s="14">
        <f t="shared" si="9"/>
        <v>8</v>
      </c>
    </row>
    <row r="45" spans="1:12" ht="15" customHeight="1" x14ac:dyDescent="0.3">
      <c r="A45" s="5">
        <v>117</v>
      </c>
      <c r="B45" s="5">
        <v>17</v>
      </c>
      <c r="C45" s="17">
        <f t="shared" si="0"/>
        <v>8.5000000000000006E-3</v>
      </c>
      <c r="D45" s="14">
        <f t="shared" si="1"/>
        <v>1.7000000000000001E-2</v>
      </c>
      <c r="E45" s="14">
        <f t="shared" si="2"/>
        <v>3.4000000000000002E-2</v>
      </c>
      <c r="F45" s="14">
        <f t="shared" si="3"/>
        <v>6.8000000000000005E-2</v>
      </c>
      <c r="G45" s="14">
        <f t="shared" si="4"/>
        <v>8.5000000000000006E-2</v>
      </c>
      <c r="H45" s="14">
        <f t="shared" si="5"/>
        <v>0.17</v>
      </c>
      <c r="I45" s="14">
        <f t="shared" si="6"/>
        <v>0.34</v>
      </c>
      <c r="J45" s="14">
        <f t="shared" si="7"/>
        <v>0.68</v>
      </c>
      <c r="K45" s="14">
        <f t="shared" si="8"/>
        <v>0.85000000000000009</v>
      </c>
      <c r="L45" s="14">
        <f t="shared" si="9"/>
        <v>8.5</v>
      </c>
    </row>
    <row r="46" spans="1:12" ht="15" customHeight="1" x14ac:dyDescent="0.3">
      <c r="A46" s="5">
        <v>118</v>
      </c>
      <c r="B46" s="5">
        <v>18</v>
      </c>
      <c r="C46" s="17">
        <f t="shared" si="0"/>
        <v>8.9999999999999993E-3</v>
      </c>
      <c r="D46" s="14">
        <f t="shared" si="1"/>
        <v>1.7999999999999999E-2</v>
      </c>
      <c r="E46" s="14">
        <f t="shared" si="2"/>
        <v>3.5999999999999997E-2</v>
      </c>
      <c r="F46" s="14">
        <f t="shared" si="3"/>
        <v>7.1999999999999995E-2</v>
      </c>
      <c r="G46" s="14">
        <f t="shared" si="4"/>
        <v>0.09</v>
      </c>
      <c r="H46" s="14">
        <f t="shared" si="5"/>
        <v>0.18</v>
      </c>
      <c r="I46" s="14">
        <f t="shared" si="6"/>
        <v>0.36</v>
      </c>
      <c r="J46" s="14">
        <f t="shared" si="7"/>
        <v>0.72</v>
      </c>
      <c r="K46" s="14">
        <f t="shared" si="8"/>
        <v>0.89999999999999991</v>
      </c>
      <c r="L46" s="14">
        <f t="shared" si="9"/>
        <v>9</v>
      </c>
    </row>
    <row r="47" spans="1:12" ht="15" customHeight="1" x14ac:dyDescent="0.3">
      <c r="A47" s="5">
        <v>119</v>
      </c>
      <c r="B47" s="5">
        <v>19</v>
      </c>
      <c r="C47" s="17">
        <f t="shared" si="0"/>
        <v>9.5000000000000015E-3</v>
      </c>
      <c r="D47" s="14">
        <f t="shared" si="1"/>
        <v>1.9000000000000003E-2</v>
      </c>
      <c r="E47" s="14">
        <f t="shared" si="2"/>
        <v>3.8000000000000006E-2</v>
      </c>
      <c r="F47" s="14">
        <f t="shared" si="3"/>
        <v>7.6000000000000012E-2</v>
      </c>
      <c r="G47" s="14">
        <f t="shared" si="4"/>
        <v>9.5000000000000015E-2</v>
      </c>
      <c r="H47" s="14">
        <f t="shared" si="5"/>
        <v>0.19000000000000003</v>
      </c>
      <c r="I47" s="14">
        <f t="shared" si="6"/>
        <v>0.38000000000000006</v>
      </c>
      <c r="J47" s="14">
        <f t="shared" si="7"/>
        <v>0.76000000000000012</v>
      </c>
      <c r="K47" s="14">
        <f t="shared" si="8"/>
        <v>0.95000000000000018</v>
      </c>
      <c r="L47" s="14">
        <f t="shared" si="9"/>
        <v>9.5000000000000018</v>
      </c>
    </row>
    <row r="48" spans="1:12" ht="15" customHeight="1" x14ac:dyDescent="0.3">
      <c r="A48" s="7">
        <v>120</v>
      </c>
      <c r="B48" s="5">
        <v>20</v>
      </c>
      <c r="C48" s="20">
        <f t="shared" si="0"/>
        <v>1.0000000000000002E-2</v>
      </c>
      <c r="D48" s="15">
        <f t="shared" si="1"/>
        <v>2.0000000000000004E-2</v>
      </c>
      <c r="E48" s="15">
        <f t="shared" si="2"/>
        <v>4.0000000000000008E-2</v>
      </c>
      <c r="F48" s="15">
        <f t="shared" si="3"/>
        <v>8.0000000000000016E-2</v>
      </c>
      <c r="G48" s="15">
        <f t="shared" si="4"/>
        <v>0.10000000000000002</v>
      </c>
      <c r="H48" s="15">
        <f t="shared" si="5"/>
        <v>0.20000000000000004</v>
      </c>
      <c r="I48" s="15">
        <f t="shared" si="6"/>
        <v>0.40000000000000008</v>
      </c>
      <c r="J48" s="15">
        <f t="shared" si="7"/>
        <v>0.80000000000000016</v>
      </c>
      <c r="K48" s="15">
        <f t="shared" si="8"/>
        <v>1.0000000000000002</v>
      </c>
      <c r="L48" s="15">
        <f t="shared" si="9"/>
        <v>10.000000000000002</v>
      </c>
    </row>
    <row r="49" spans="1:12" ht="15" customHeight="1" x14ac:dyDescent="0.3">
      <c r="A49" s="5">
        <v>121</v>
      </c>
      <c r="B49" s="5">
        <v>21</v>
      </c>
      <c r="C49" s="17">
        <f t="shared" si="0"/>
        <v>1.0500000000000001E-2</v>
      </c>
      <c r="D49" s="14">
        <f t="shared" si="1"/>
        <v>2.1000000000000001E-2</v>
      </c>
      <c r="E49" s="14">
        <f t="shared" si="2"/>
        <v>4.2000000000000003E-2</v>
      </c>
      <c r="F49" s="14">
        <f t="shared" si="3"/>
        <v>8.4000000000000005E-2</v>
      </c>
      <c r="G49" s="14">
        <f t="shared" si="4"/>
        <v>0.10500000000000001</v>
      </c>
      <c r="H49" s="14">
        <f t="shared" si="5"/>
        <v>0.21000000000000002</v>
      </c>
      <c r="I49" s="14">
        <f t="shared" si="6"/>
        <v>0.42000000000000004</v>
      </c>
      <c r="J49" s="14">
        <f t="shared" si="7"/>
        <v>0.84000000000000008</v>
      </c>
      <c r="K49" s="14">
        <f t="shared" si="8"/>
        <v>1.05</v>
      </c>
      <c r="L49" s="14">
        <f t="shared" si="9"/>
        <v>10.5</v>
      </c>
    </row>
    <row r="50" spans="1:12" ht="15" customHeight="1" x14ac:dyDescent="0.3">
      <c r="A50" s="5">
        <v>122</v>
      </c>
      <c r="B50" s="5">
        <v>22</v>
      </c>
      <c r="C50" s="17">
        <f t="shared" si="0"/>
        <v>1.1000000000000001E-2</v>
      </c>
      <c r="D50" s="14">
        <f t="shared" si="1"/>
        <v>2.2000000000000002E-2</v>
      </c>
      <c r="E50" s="14">
        <f t="shared" si="2"/>
        <v>4.4000000000000004E-2</v>
      </c>
      <c r="F50" s="14">
        <f t="shared" si="3"/>
        <v>8.8000000000000009E-2</v>
      </c>
      <c r="G50" s="14">
        <f t="shared" si="4"/>
        <v>0.11000000000000001</v>
      </c>
      <c r="H50" s="14">
        <f t="shared" si="5"/>
        <v>0.22000000000000003</v>
      </c>
      <c r="I50" s="14">
        <f t="shared" si="6"/>
        <v>0.44000000000000006</v>
      </c>
      <c r="J50" s="14">
        <f t="shared" si="7"/>
        <v>0.88000000000000012</v>
      </c>
      <c r="K50" s="14">
        <f t="shared" si="8"/>
        <v>1.1000000000000001</v>
      </c>
      <c r="L50" s="14">
        <f t="shared" si="9"/>
        <v>11.000000000000002</v>
      </c>
    </row>
    <row r="51" spans="1:12" ht="15" customHeight="1" x14ac:dyDescent="0.3">
      <c r="A51" s="5">
        <v>123</v>
      </c>
      <c r="B51" s="5">
        <v>23</v>
      </c>
      <c r="C51" s="17">
        <f t="shared" si="0"/>
        <v>1.1500000000000002E-2</v>
      </c>
      <c r="D51" s="14">
        <f t="shared" si="1"/>
        <v>2.3000000000000003E-2</v>
      </c>
      <c r="E51" s="14">
        <f t="shared" si="2"/>
        <v>4.6000000000000006E-2</v>
      </c>
      <c r="F51" s="14">
        <f t="shared" si="3"/>
        <v>9.2000000000000012E-2</v>
      </c>
      <c r="G51" s="14">
        <f t="shared" si="4"/>
        <v>0.11500000000000002</v>
      </c>
      <c r="H51" s="14">
        <f t="shared" si="5"/>
        <v>0.23000000000000004</v>
      </c>
      <c r="I51" s="14">
        <f t="shared" si="6"/>
        <v>0.46000000000000008</v>
      </c>
      <c r="J51" s="14">
        <f t="shared" si="7"/>
        <v>0.92000000000000015</v>
      </c>
      <c r="K51" s="14">
        <f t="shared" si="8"/>
        <v>1.1500000000000001</v>
      </c>
      <c r="L51" s="14">
        <f t="shared" si="9"/>
        <v>11.500000000000002</v>
      </c>
    </row>
    <row r="52" spans="1:12" ht="15" customHeight="1" x14ac:dyDescent="0.3">
      <c r="A52" s="5">
        <v>124</v>
      </c>
      <c r="B52" s="5">
        <v>24</v>
      </c>
      <c r="C52" s="17">
        <f t="shared" si="0"/>
        <v>1.2E-2</v>
      </c>
      <c r="D52" s="14">
        <f t="shared" si="1"/>
        <v>2.4E-2</v>
      </c>
      <c r="E52" s="14">
        <f t="shared" si="2"/>
        <v>4.8000000000000001E-2</v>
      </c>
      <c r="F52" s="14">
        <f t="shared" si="3"/>
        <v>9.6000000000000002E-2</v>
      </c>
      <c r="G52" s="14">
        <f t="shared" si="4"/>
        <v>0.12</v>
      </c>
      <c r="H52" s="14">
        <f t="shared" si="5"/>
        <v>0.24</v>
      </c>
      <c r="I52" s="14">
        <f t="shared" si="6"/>
        <v>0.48</v>
      </c>
      <c r="J52" s="14">
        <f t="shared" si="7"/>
        <v>0.96</v>
      </c>
      <c r="K52" s="14">
        <f t="shared" si="8"/>
        <v>1.2</v>
      </c>
      <c r="L52" s="14">
        <f t="shared" si="9"/>
        <v>12</v>
      </c>
    </row>
    <row r="53" spans="1:12" ht="15" customHeight="1" x14ac:dyDescent="0.3">
      <c r="A53" s="5">
        <v>125</v>
      </c>
      <c r="B53" s="5">
        <v>25</v>
      </c>
      <c r="C53" s="17">
        <f t="shared" si="0"/>
        <v>1.2500000000000001E-2</v>
      </c>
      <c r="D53" s="14">
        <f t="shared" si="1"/>
        <v>2.5000000000000001E-2</v>
      </c>
      <c r="E53" s="14">
        <f t="shared" si="2"/>
        <v>0.05</v>
      </c>
      <c r="F53" s="14">
        <f t="shared" si="3"/>
        <v>0.1</v>
      </c>
      <c r="G53" s="14">
        <f t="shared" si="4"/>
        <v>0.125</v>
      </c>
      <c r="H53" s="14">
        <f t="shared" si="5"/>
        <v>0.25</v>
      </c>
      <c r="I53" s="14">
        <f t="shared" si="6"/>
        <v>0.5</v>
      </c>
      <c r="J53" s="14">
        <f t="shared" si="7"/>
        <v>1</v>
      </c>
      <c r="K53" s="14">
        <f t="shared" si="8"/>
        <v>1.25</v>
      </c>
      <c r="L53" s="14">
        <f t="shared" si="9"/>
        <v>12.5</v>
      </c>
    </row>
  </sheetData>
  <mergeCells count="1">
    <mergeCell ref="A1:L1"/>
  </mergeCells>
  <phoneticPr fontId="1" type="noConversion"/>
  <pageMargins left="0.52" right="0.70866141732283472" top="0.43307086614173229" bottom="0.27559055118110237" header="0.31496062992125984" footer="0.31496062992125984"/>
  <pageSetup paperSize="9" scale="8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13"/>
  <sheetViews>
    <sheetView view="pageBreakPreview" zoomScaleNormal="100" zoomScaleSheetLayoutView="100" workbookViewId="0">
      <pane ySplit="2" topLeftCell="A3" activePane="bottomLeft" state="frozen"/>
      <selection pane="bottomLeft" activeCell="C3" sqref="C3"/>
    </sheetView>
  </sheetViews>
  <sheetFormatPr defaultRowHeight="15" customHeight="1" x14ac:dyDescent="0.3"/>
  <cols>
    <col min="1" max="2" width="10.25" style="8" customWidth="1"/>
    <col min="3" max="12" width="9" style="6"/>
    <col min="13" max="19" width="9" style="10"/>
    <col min="20" max="16384" width="9" style="6"/>
  </cols>
  <sheetData>
    <row r="1" spans="1:14" ht="24.95" customHeight="1" x14ac:dyDescent="0.3">
      <c r="A1" s="33" t="s">
        <v>2</v>
      </c>
      <c r="B1" s="33"/>
      <c r="C1" s="33"/>
      <c r="D1" s="33"/>
      <c r="E1" s="33"/>
      <c r="F1" s="33"/>
      <c r="G1" s="33"/>
      <c r="H1" s="33"/>
      <c r="I1" s="33"/>
      <c r="J1" s="33"/>
      <c r="K1" s="8"/>
    </row>
    <row r="2" spans="1:14" ht="27" customHeight="1" x14ac:dyDescent="0.3">
      <c r="A2" s="11" t="s">
        <v>0</v>
      </c>
      <c r="B2" s="12"/>
      <c r="C2" s="5">
        <v>1</v>
      </c>
      <c r="D2" s="5">
        <v>2</v>
      </c>
      <c r="E2" s="5">
        <v>4</v>
      </c>
      <c r="F2" s="5">
        <v>8</v>
      </c>
      <c r="G2" s="5">
        <v>10</v>
      </c>
      <c r="H2" s="5">
        <v>20</v>
      </c>
      <c r="I2" s="5">
        <v>40</v>
      </c>
      <c r="J2" s="5">
        <v>80</v>
      </c>
      <c r="K2" s="5">
        <v>100</v>
      </c>
      <c r="L2" s="29">
        <v>1000</v>
      </c>
      <c r="M2" s="30"/>
    </row>
    <row r="3" spans="1:14" ht="15" customHeight="1" x14ac:dyDescent="0.3">
      <c r="A3" s="9">
        <v>900</v>
      </c>
      <c r="B3" s="5">
        <v>-100</v>
      </c>
      <c r="C3" s="15">
        <f>(1/2)*(B3/1000)*1</f>
        <v>-0.05</v>
      </c>
      <c r="D3" s="15">
        <f>C3*2</f>
        <v>-0.1</v>
      </c>
      <c r="E3" s="15">
        <f>C3*4</f>
        <v>-0.2</v>
      </c>
      <c r="F3" s="15">
        <f>C3*8</f>
        <v>-0.4</v>
      </c>
      <c r="G3" s="15">
        <f>C3*10</f>
        <v>-0.5</v>
      </c>
      <c r="H3" s="15">
        <f>C3*20</f>
        <v>-1</v>
      </c>
      <c r="I3" s="15">
        <f>C3*40</f>
        <v>-2</v>
      </c>
      <c r="J3" s="15">
        <f>C3*80</f>
        <v>-4</v>
      </c>
      <c r="K3" s="15">
        <f>C3*100</f>
        <v>-5</v>
      </c>
      <c r="L3" s="15">
        <f>C3*1000</f>
        <v>-50</v>
      </c>
      <c r="M3" s="28"/>
      <c r="N3" s="31" t="s">
        <v>4</v>
      </c>
    </row>
    <row r="4" spans="1:14" ht="15" customHeight="1" x14ac:dyDescent="0.3">
      <c r="A4" s="5">
        <v>901</v>
      </c>
      <c r="B4" s="5">
        <v>-99</v>
      </c>
      <c r="C4" s="27">
        <f t="shared" ref="C4:C67" si="0">(1/2)*(B4/1000)*1</f>
        <v>-4.9500000000000002E-2</v>
      </c>
      <c r="D4" s="27">
        <f t="shared" ref="D4:D67" si="1">C4*2</f>
        <v>-9.9000000000000005E-2</v>
      </c>
      <c r="E4" s="27">
        <f t="shared" ref="E4:E67" si="2">C4*4</f>
        <v>-0.19800000000000001</v>
      </c>
      <c r="F4" s="27">
        <f t="shared" ref="F4:F67" si="3">C4*8</f>
        <v>-0.39600000000000002</v>
      </c>
      <c r="G4" s="27">
        <f t="shared" ref="G4:G67" si="4">C4*10</f>
        <v>-0.495</v>
      </c>
      <c r="H4" s="27">
        <f t="shared" ref="H4:H67" si="5">C4*20</f>
        <v>-0.99</v>
      </c>
      <c r="I4" s="27">
        <f t="shared" ref="I4:I67" si="6">C4*40</f>
        <v>-1.98</v>
      </c>
      <c r="J4" s="27">
        <f t="shared" ref="J4:J67" si="7">C4*80</f>
        <v>-3.96</v>
      </c>
      <c r="K4" s="27">
        <f t="shared" ref="K4:K67" si="8">C4*100</f>
        <v>-4.95</v>
      </c>
      <c r="L4" s="27">
        <f t="shared" ref="L4:L67" si="9">C4*1000</f>
        <v>-49.5</v>
      </c>
      <c r="M4" s="28"/>
    </row>
    <row r="5" spans="1:14" ht="15" customHeight="1" x14ac:dyDescent="0.3">
      <c r="A5" s="5">
        <v>902</v>
      </c>
      <c r="B5" s="5">
        <v>-98</v>
      </c>
      <c r="C5" s="27">
        <f t="shared" si="0"/>
        <v>-4.9000000000000002E-2</v>
      </c>
      <c r="D5" s="27">
        <f t="shared" si="1"/>
        <v>-9.8000000000000004E-2</v>
      </c>
      <c r="E5" s="27">
        <f t="shared" si="2"/>
        <v>-0.19600000000000001</v>
      </c>
      <c r="F5" s="27">
        <f t="shared" si="3"/>
        <v>-0.39200000000000002</v>
      </c>
      <c r="G5" s="27">
        <f t="shared" si="4"/>
        <v>-0.49</v>
      </c>
      <c r="H5" s="27">
        <f t="shared" si="5"/>
        <v>-0.98</v>
      </c>
      <c r="I5" s="27">
        <f t="shared" si="6"/>
        <v>-1.96</v>
      </c>
      <c r="J5" s="27">
        <f t="shared" si="7"/>
        <v>-3.92</v>
      </c>
      <c r="K5" s="27">
        <f t="shared" si="8"/>
        <v>-4.9000000000000004</v>
      </c>
      <c r="L5" s="27">
        <f t="shared" si="9"/>
        <v>-49</v>
      </c>
      <c r="M5" s="28"/>
    </row>
    <row r="6" spans="1:14" ht="15" customHeight="1" x14ac:dyDescent="0.3">
      <c r="A6" s="5">
        <v>903</v>
      </c>
      <c r="B6" s="5">
        <v>-97</v>
      </c>
      <c r="C6" s="27">
        <f t="shared" si="0"/>
        <v>-4.8500000000000001E-2</v>
      </c>
      <c r="D6" s="27">
        <f t="shared" si="1"/>
        <v>-9.7000000000000003E-2</v>
      </c>
      <c r="E6" s="27">
        <f t="shared" si="2"/>
        <v>-0.19400000000000001</v>
      </c>
      <c r="F6" s="27">
        <f t="shared" si="3"/>
        <v>-0.38800000000000001</v>
      </c>
      <c r="G6" s="27">
        <f t="shared" si="4"/>
        <v>-0.48499999999999999</v>
      </c>
      <c r="H6" s="27">
        <f t="shared" si="5"/>
        <v>-0.97</v>
      </c>
      <c r="I6" s="27">
        <f t="shared" si="6"/>
        <v>-1.94</v>
      </c>
      <c r="J6" s="27">
        <f t="shared" si="7"/>
        <v>-3.88</v>
      </c>
      <c r="K6" s="27">
        <f t="shared" si="8"/>
        <v>-4.8500000000000005</v>
      </c>
      <c r="L6" s="27">
        <f t="shared" si="9"/>
        <v>-48.5</v>
      </c>
      <c r="M6" s="28"/>
    </row>
    <row r="7" spans="1:14" ht="15" customHeight="1" x14ac:dyDescent="0.3">
      <c r="A7" s="5">
        <v>904</v>
      </c>
      <c r="B7" s="5">
        <v>-96</v>
      </c>
      <c r="C7" s="27">
        <f t="shared" si="0"/>
        <v>-4.8000000000000001E-2</v>
      </c>
      <c r="D7" s="27">
        <f t="shared" si="1"/>
        <v>-9.6000000000000002E-2</v>
      </c>
      <c r="E7" s="27">
        <f t="shared" si="2"/>
        <v>-0.192</v>
      </c>
      <c r="F7" s="27">
        <f t="shared" si="3"/>
        <v>-0.38400000000000001</v>
      </c>
      <c r="G7" s="27">
        <f t="shared" si="4"/>
        <v>-0.48</v>
      </c>
      <c r="H7" s="27">
        <f t="shared" si="5"/>
        <v>-0.96</v>
      </c>
      <c r="I7" s="27">
        <f t="shared" si="6"/>
        <v>-1.92</v>
      </c>
      <c r="J7" s="27">
        <f t="shared" si="7"/>
        <v>-3.84</v>
      </c>
      <c r="K7" s="27">
        <f t="shared" si="8"/>
        <v>-4.8</v>
      </c>
      <c r="L7" s="27">
        <f t="shared" si="9"/>
        <v>-48</v>
      </c>
      <c r="M7" s="28"/>
    </row>
    <row r="8" spans="1:14" ht="15" customHeight="1" x14ac:dyDescent="0.3">
      <c r="A8" s="5">
        <v>905</v>
      </c>
      <c r="B8" s="5">
        <v>-95</v>
      </c>
      <c r="C8" s="27">
        <f t="shared" si="0"/>
        <v>-4.7500000000000001E-2</v>
      </c>
      <c r="D8" s="27">
        <f t="shared" si="1"/>
        <v>-9.5000000000000001E-2</v>
      </c>
      <c r="E8" s="27">
        <f t="shared" si="2"/>
        <v>-0.19</v>
      </c>
      <c r="F8" s="27">
        <f t="shared" si="3"/>
        <v>-0.38</v>
      </c>
      <c r="G8" s="27">
        <f t="shared" si="4"/>
        <v>-0.47499999999999998</v>
      </c>
      <c r="H8" s="27">
        <f t="shared" si="5"/>
        <v>-0.95</v>
      </c>
      <c r="I8" s="27">
        <f t="shared" si="6"/>
        <v>-1.9</v>
      </c>
      <c r="J8" s="27">
        <f t="shared" si="7"/>
        <v>-3.8</v>
      </c>
      <c r="K8" s="27">
        <f t="shared" si="8"/>
        <v>-4.75</v>
      </c>
      <c r="L8" s="27">
        <f t="shared" si="9"/>
        <v>-47.5</v>
      </c>
      <c r="M8" s="28"/>
    </row>
    <row r="9" spans="1:14" ht="15" customHeight="1" x14ac:dyDescent="0.3">
      <c r="A9" s="5">
        <v>906</v>
      </c>
      <c r="B9" s="5">
        <v>-94</v>
      </c>
      <c r="C9" s="27">
        <f t="shared" si="0"/>
        <v>-4.7E-2</v>
      </c>
      <c r="D9" s="27">
        <f t="shared" si="1"/>
        <v>-9.4E-2</v>
      </c>
      <c r="E9" s="27">
        <f t="shared" si="2"/>
        <v>-0.188</v>
      </c>
      <c r="F9" s="27">
        <f t="shared" si="3"/>
        <v>-0.376</v>
      </c>
      <c r="G9" s="27">
        <f t="shared" si="4"/>
        <v>-0.47</v>
      </c>
      <c r="H9" s="27">
        <f t="shared" si="5"/>
        <v>-0.94</v>
      </c>
      <c r="I9" s="27">
        <f t="shared" si="6"/>
        <v>-1.88</v>
      </c>
      <c r="J9" s="27">
        <f t="shared" si="7"/>
        <v>-3.76</v>
      </c>
      <c r="K9" s="27">
        <f t="shared" si="8"/>
        <v>-4.7</v>
      </c>
      <c r="L9" s="27">
        <f t="shared" si="9"/>
        <v>-47</v>
      </c>
      <c r="M9" s="28"/>
    </row>
    <row r="10" spans="1:14" ht="15" customHeight="1" x14ac:dyDescent="0.3">
      <c r="A10" s="5">
        <v>907</v>
      </c>
      <c r="B10" s="5">
        <v>-93</v>
      </c>
      <c r="C10" s="27">
        <f t="shared" si="0"/>
        <v>-4.65E-2</v>
      </c>
      <c r="D10" s="27">
        <f t="shared" si="1"/>
        <v>-9.2999999999999999E-2</v>
      </c>
      <c r="E10" s="27">
        <f t="shared" si="2"/>
        <v>-0.186</v>
      </c>
      <c r="F10" s="27">
        <f t="shared" si="3"/>
        <v>-0.372</v>
      </c>
      <c r="G10" s="27">
        <f t="shared" si="4"/>
        <v>-0.46499999999999997</v>
      </c>
      <c r="H10" s="27">
        <f t="shared" si="5"/>
        <v>-0.92999999999999994</v>
      </c>
      <c r="I10" s="27">
        <f t="shared" si="6"/>
        <v>-1.8599999999999999</v>
      </c>
      <c r="J10" s="27">
        <f t="shared" si="7"/>
        <v>-3.7199999999999998</v>
      </c>
      <c r="K10" s="27">
        <f t="shared" si="8"/>
        <v>-4.6500000000000004</v>
      </c>
      <c r="L10" s="27">
        <f t="shared" si="9"/>
        <v>-46.5</v>
      </c>
      <c r="M10" s="28"/>
    </row>
    <row r="11" spans="1:14" ht="15" customHeight="1" x14ac:dyDescent="0.3">
      <c r="A11" s="5">
        <v>908</v>
      </c>
      <c r="B11" s="5">
        <v>-92</v>
      </c>
      <c r="C11" s="27">
        <f t="shared" si="0"/>
        <v>-4.5999999999999999E-2</v>
      </c>
      <c r="D11" s="27">
        <f t="shared" si="1"/>
        <v>-9.1999999999999998E-2</v>
      </c>
      <c r="E11" s="27">
        <f t="shared" si="2"/>
        <v>-0.184</v>
      </c>
      <c r="F11" s="27">
        <f t="shared" si="3"/>
        <v>-0.36799999999999999</v>
      </c>
      <c r="G11" s="27">
        <f t="shared" si="4"/>
        <v>-0.45999999999999996</v>
      </c>
      <c r="H11" s="27">
        <f t="shared" si="5"/>
        <v>-0.91999999999999993</v>
      </c>
      <c r="I11" s="27">
        <f t="shared" si="6"/>
        <v>-1.8399999999999999</v>
      </c>
      <c r="J11" s="27">
        <f t="shared" si="7"/>
        <v>-3.6799999999999997</v>
      </c>
      <c r="K11" s="27">
        <f t="shared" si="8"/>
        <v>-4.5999999999999996</v>
      </c>
      <c r="L11" s="27">
        <f t="shared" si="9"/>
        <v>-46</v>
      </c>
      <c r="M11" s="28"/>
    </row>
    <row r="12" spans="1:14" ht="15" customHeight="1" x14ac:dyDescent="0.3">
      <c r="A12" s="5">
        <v>909</v>
      </c>
      <c r="B12" s="5">
        <v>-91</v>
      </c>
      <c r="C12" s="27">
        <f t="shared" si="0"/>
        <v>-4.5499999999999999E-2</v>
      </c>
      <c r="D12" s="27">
        <f t="shared" si="1"/>
        <v>-9.0999999999999998E-2</v>
      </c>
      <c r="E12" s="27">
        <f t="shared" si="2"/>
        <v>-0.182</v>
      </c>
      <c r="F12" s="27">
        <f t="shared" si="3"/>
        <v>-0.36399999999999999</v>
      </c>
      <c r="G12" s="27">
        <f t="shared" si="4"/>
        <v>-0.45499999999999996</v>
      </c>
      <c r="H12" s="27">
        <f t="shared" si="5"/>
        <v>-0.90999999999999992</v>
      </c>
      <c r="I12" s="27">
        <f t="shared" si="6"/>
        <v>-1.8199999999999998</v>
      </c>
      <c r="J12" s="27">
        <f t="shared" si="7"/>
        <v>-3.6399999999999997</v>
      </c>
      <c r="K12" s="27">
        <f t="shared" si="8"/>
        <v>-4.55</v>
      </c>
      <c r="L12" s="27">
        <f t="shared" si="9"/>
        <v>-45.5</v>
      </c>
      <c r="M12" s="28"/>
    </row>
    <row r="13" spans="1:14" ht="15" customHeight="1" x14ac:dyDescent="0.3">
      <c r="A13" s="9">
        <v>910</v>
      </c>
      <c r="B13" s="5">
        <v>-90</v>
      </c>
      <c r="C13" s="15">
        <f t="shared" si="0"/>
        <v>-4.4999999999999998E-2</v>
      </c>
      <c r="D13" s="15">
        <f t="shared" si="1"/>
        <v>-0.09</v>
      </c>
      <c r="E13" s="15">
        <f t="shared" si="2"/>
        <v>-0.18</v>
      </c>
      <c r="F13" s="15">
        <f t="shared" si="3"/>
        <v>-0.36</v>
      </c>
      <c r="G13" s="15">
        <f t="shared" si="4"/>
        <v>-0.44999999999999996</v>
      </c>
      <c r="H13" s="15">
        <f t="shared" si="5"/>
        <v>-0.89999999999999991</v>
      </c>
      <c r="I13" s="15">
        <f t="shared" si="6"/>
        <v>-1.7999999999999998</v>
      </c>
      <c r="J13" s="15">
        <f t="shared" si="7"/>
        <v>-3.5999999999999996</v>
      </c>
      <c r="K13" s="15">
        <f t="shared" si="8"/>
        <v>-4.5</v>
      </c>
      <c r="L13" s="15">
        <f t="shared" si="9"/>
        <v>-45</v>
      </c>
      <c r="M13" s="28"/>
    </row>
    <row r="14" spans="1:14" ht="15" customHeight="1" x14ac:dyDescent="0.3">
      <c r="A14" s="5">
        <v>911</v>
      </c>
      <c r="B14" s="5">
        <v>-89</v>
      </c>
      <c r="C14" s="27">
        <f t="shared" si="0"/>
        <v>-4.4499999999999998E-2</v>
      </c>
      <c r="D14" s="27">
        <f t="shared" si="1"/>
        <v>-8.8999999999999996E-2</v>
      </c>
      <c r="E14" s="27">
        <f t="shared" si="2"/>
        <v>-0.17799999999999999</v>
      </c>
      <c r="F14" s="27">
        <f t="shared" si="3"/>
        <v>-0.35599999999999998</v>
      </c>
      <c r="G14" s="27">
        <f t="shared" si="4"/>
        <v>-0.44499999999999995</v>
      </c>
      <c r="H14" s="27">
        <f t="shared" si="5"/>
        <v>-0.8899999999999999</v>
      </c>
      <c r="I14" s="27">
        <f t="shared" si="6"/>
        <v>-1.7799999999999998</v>
      </c>
      <c r="J14" s="27">
        <f t="shared" si="7"/>
        <v>-3.5599999999999996</v>
      </c>
      <c r="K14" s="27">
        <f t="shared" si="8"/>
        <v>-4.45</v>
      </c>
      <c r="L14" s="27">
        <f t="shared" si="9"/>
        <v>-44.5</v>
      </c>
      <c r="M14" s="28"/>
    </row>
    <row r="15" spans="1:14" ht="15" customHeight="1" x14ac:dyDescent="0.3">
      <c r="A15" s="5">
        <v>912</v>
      </c>
      <c r="B15" s="5">
        <v>-88</v>
      </c>
      <c r="C15" s="27">
        <f t="shared" si="0"/>
        <v>-4.3999999999999997E-2</v>
      </c>
      <c r="D15" s="27">
        <f t="shared" si="1"/>
        <v>-8.7999999999999995E-2</v>
      </c>
      <c r="E15" s="27">
        <f t="shared" si="2"/>
        <v>-0.17599999999999999</v>
      </c>
      <c r="F15" s="27">
        <f t="shared" si="3"/>
        <v>-0.35199999999999998</v>
      </c>
      <c r="G15" s="27">
        <f t="shared" si="4"/>
        <v>-0.43999999999999995</v>
      </c>
      <c r="H15" s="27">
        <f t="shared" si="5"/>
        <v>-0.87999999999999989</v>
      </c>
      <c r="I15" s="27">
        <f t="shared" si="6"/>
        <v>-1.7599999999999998</v>
      </c>
      <c r="J15" s="27">
        <f t="shared" si="7"/>
        <v>-3.5199999999999996</v>
      </c>
      <c r="K15" s="27">
        <f t="shared" si="8"/>
        <v>-4.3999999999999995</v>
      </c>
      <c r="L15" s="27">
        <f t="shared" si="9"/>
        <v>-44</v>
      </c>
      <c r="M15" s="28"/>
    </row>
    <row r="16" spans="1:14" ht="15" customHeight="1" x14ac:dyDescent="0.3">
      <c r="A16" s="5">
        <v>913</v>
      </c>
      <c r="B16" s="5">
        <v>-87</v>
      </c>
      <c r="C16" s="27">
        <f t="shared" si="0"/>
        <v>-4.3499999999999997E-2</v>
      </c>
      <c r="D16" s="27">
        <f t="shared" si="1"/>
        <v>-8.6999999999999994E-2</v>
      </c>
      <c r="E16" s="27">
        <f t="shared" si="2"/>
        <v>-0.17399999999999999</v>
      </c>
      <c r="F16" s="27">
        <f t="shared" si="3"/>
        <v>-0.34799999999999998</v>
      </c>
      <c r="G16" s="27">
        <f t="shared" si="4"/>
        <v>-0.43499999999999994</v>
      </c>
      <c r="H16" s="27">
        <f t="shared" si="5"/>
        <v>-0.86999999999999988</v>
      </c>
      <c r="I16" s="27">
        <f t="shared" si="6"/>
        <v>-1.7399999999999998</v>
      </c>
      <c r="J16" s="27">
        <f t="shared" si="7"/>
        <v>-3.4799999999999995</v>
      </c>
      <c r="K16" s="27">
        <f t="shared" si="8"/>
        <v>-4.3499999999999996</v>
      </c>
      <c r="L16" s="27">
        <f t="shared" si="9"/>
        <v>-43.5</v>
      </c>
      <c r="M16" s="28"/>
    </row>
    <row r="17" spans="1:13" ht="15" customHeight="1" x14ac:dyDescent="0.3">
      <c r="A17" s="5">
        <v>914</v>
      </c>
      <c r="B17" s="5">
        <v>-86</v>
      </c>
      <c r="C17" s="27">
        <f t="shared" si="0"/>
        <v>-4.2999999999999997E-2</v>
      </c>
      <c r="D17" s="27">
        <f t="shared" si="1"/>
        <v>-8.5999999999999993E-2</v>
      </c>
      <c r="E17" s="27">
        <f t="shared" si="2"/>
        <v>-0.17199999999999999</v>
      </c>
      <c r="F17" s="27">
        <f t="shared" si="3"/>
        <v>-0.34399999999999997</v>
      </c>
      <c r="G17" s="27">
        <f t="shared" si="4"/>
        <v>-0.42999999999999994</v>
      </c>
      <c r="H17" s="27">
        <f t="shared" si="5"/>
        <v>-0.85999999999999988</v>
      </c>
      <c r="I17" s="27">
        <f t="shared" si="6"/>
        <v>-1.7199999999999998</v>
      </c>
      <c r="J17" s="27">
        <f t="shared" si="7"/>
        <v>-3.4399999999999995</v>
      </c>
      <c r="K17" s="27">
        <f t="shared" si="8"/>
        <v>-4.3</v>
      </c>
      <c r="L17" s="27">
        <f t="shared" si="9"/>
        <v>-43</v>
      </c>
      <c r="M17" s="28"/>
    </row>
    <row r="18" spans="1:13" ht="12" x14ac:dyDescent="0.3">
      <c r="A18" s="5">
        <v>915</v>
      </c>
      <c r="B18" s="5">
        <v>-85</v>
      </c>
      <c r="C18" s="27">
        <f t="shared" si="0"/>
        <v>-4.2500000000000003E-2</v>
      </c>
      <c r="D18" s="27">
        <f t="shared" si="1"/>
        <v>-8.5000000000000006E-2</v>
      </c>
      <c r="E18" s="27">
        <f t="shared" si="2"/>
        <v>-0.17</v>
      </c>
      <c r="F18" s="27">
        <f t="shared" si="3"/>
        <v>-0.34</v>
      </c>
      <c r="G18" s="27">
        <f t="shared" si="4"/>
        <v>-0.42500000000000004</v>
      </c>
      <c r="H18" s="27">
        <f t="shared" si="5"/>
        <v>-0.85000000000000009</v>
      </c>
      <c r="I18" s="27">
        <f t="shared" si="6"/>
        <v>-1.7000000000000002</v>
      </c>
      <c r="J18" s="27">
        <f t="shared" si="7"/>
        <v>-3.4000000000000004</v>
      </c>
      <c r="K18" s="27">
        <f t="shared" si="8"/>
        <v>-4.25</v>
      </c>
      <c r="L18" s="27">
        <f t="shared" si="9"/>
        <v>-42.5</v>
      </c>
      <c r="M18" s="28"/>
    </row>
    <row r="19" spans="1:13" ht="12" x14ac:dyDescent="0.3">
      <c r="A19" s="5">
        <v>916</v>
      </c>
      <c r="B19" s="5">
        <v>-84</v>
      </c>
      <c r="C19" s="27">
        <f t="shared" si="0"/>
        <v>-4.2000000000000003E-2</v>
      </c>
      <c r="D19" s="27">
        <f t="shared" si="1"/>
        <v>-8.4000000000000005E-2</v>
      </c>
      <c r="E19" s="27">
        <f t="shared" si="2"/>
        <v>-0.16800000000000001</v>
      </c>
      <c r="F19" s="27">
        <f t="shared" si="3"/>
        <v>-0.33600000000000002</v>
      </c>
      <c r="G19" s="27">
        <f t="shared" si="4"/>
        <v>-0.42000000000000004</v>
      </c>
      <c r="H19" s="27">
        <f t="shared" si="5"/>
        <v>-0.84000000000000008</v>
      </c>
      <c r="I19" s="27">
        <f t="shared" si="6"/>
        <v>-1.6800000000000002</v>
      </c>
      <c r="J19" s="27">
        <f t="shared" si="7"/>
        <v>-3.3600000000000003</v>
      </c>
      <c r="K19" s="27">
        <f t="shared" si="8"/>
        <v>-4.2</v>
      </c>
      <c r="L19" s="27">
        <f t="shared" si="9"/>
        <v>-42</v>
      </c>
      <c r="M19" s="28"/>
    </row>
    <row r="20" spans="1:13" ht="12" x14ac:dyDescent="0.3">
      <c r="A20" s="5">
        <v>917</v>
      </c>
      <c r="B20" s="5">
        <v>-83</v>
      </c>
      <c r="C20" s="27">
        <f t="shared" si="0"/>
        <v>-4.1500000000000002E-2</v>
      </c>
      <c r="D20" s="27">
        <f t="shared" si="1"/>
        <v>-8.3000000000000004E-2</v>
      </c>
      <c r="E20" s="27">
        <f t="shared" si="2"/>
        <v>-0.16600000000000001</v>
      </c>
      <c r="F20" s="27">
        <f t="shared" si="3"/>
        <v>-0.33200000000000002</v>
      </c>
      <c r="G20" s="27">
        <f t="shared" si="4"/>
        <v>-0.41500000000000004</v>
      </c>
      <c r="H20" s="27">
        <f t="shared" si="5"/>
        <v>-0.83000000000000007</v>
      </c>
      <c r="I20" s="27">
        <f t="shared" si="6"/>
        <v>-1.6600000000000001</v>
      </c>
      <c r="J20" s="27">
        <f t="shared" si="7"/>
        <v>-3.3200000000000003</v>
      </c>
      <c r="K20" s="27">
        <f t="shared" si="8"/>
        <v>-4.1500000000000004</v>
      </c>
      <c r="L20" s="27">
        <f t="shared" si="9"/>
        <v>-41.5</v>
      </c>
      <c r="M20" s="28"/>
    </row>
    <row r="21" spans="1:13" ht="12" x14ac:dyDescent="0.3">
      <c r="A21" s="5">
        <v>918</v>
      </c>
      <c r="B21" s="5">
        <v>-82</v>
      </c>
      <c r="C21" s="27">
        <f t="shared" si="0"/>
        <v>-4.1000000000000002E-2</v>
      </c>
      <c r="D21" s="27">
        <f t="shared" si="1"/>
        <v>-8.2000000000000003E-2</v>
      </c>
      <c r="E21" s="27">
        <f t="shared" si="2"/>
        <v>-0.16400000000000001</v>
      </c>
      <c r="F21" s="27">
        <f t="shared" si="3"/>
        <v>-0.32800000000000001</v>
      </c>
      <c r="G21" s="27">
        <f t="shared" si="4"/>
        <v>-0.41000000000000003</v>
      </c>
      <c r="H21" s="27">
        <f t="shared" si="5"/>
        <v>-0.82000000000000006</v>
      </c>
      <c r="I21" s="27">
        <f t="shared" si="6"/>
        <v>-1.6400000000000001</v>
      </c>
      <c r="J21" s="27">
        <f t="shared" si="7"/>
        <v>-3.2800000000000002</v>
      </c>
      <c r="K21" s="27">
        <f t="shared" si="8"/>
        <v>-4.1000000000000005</v>
      </c>
      <c r="L21" s="27">
        <f t="shared" si="9"/>
        <v>-41</v>
      </c>
      <c r="M21" s="28"/>
    </row>
    <row r="22" spans="1:13" ht="12" x14ac:dyDescent="0.3">
      <c r="A22" s="5">
        <v>919</v>
      </c>
      <c r="B22" s="5">
        <v>-81</v>
      </c>
      <c r="C22" s="27">
        <f t="shared" si="0"/>
        <v>-4.0500000000000001E-2</v>
      </c>
      <c r="D22" s="27">
        <f t="shared" si="1"/>
        <v>-8.1000000000000003E-2</v>
      </c>
      <c r="E22" s="27">
        <f t="shared" si="2"/>
        <v>-0.16200000000000001</v>
      </c>
      <c r="F22" s="27">
        <f t="shared" si="3"/>
        <v>-0.32400000000000001</v>
      </c>
      <c r="G22" s="27">
        <f t="shared" si="4"/>
        <v>-0.40500000000000003</v>
      </c>
      <c r="H22" s="27">
        <f t="shared" si="5"/>
        <v>-0.81</v>
      </c>
      <c r="I22" s="27">
        <f t="shared" si="6"/>
        <v>-1.62</v>
      </c>
      <c r="J22" s="27">
        <f t="shared" si="7"/>
        <v>-3.24</v>
      </c>
      <c r="K22" s="27">
        <f t="shared" si="8"/>
        <v>-4.05</v>
      </c>
      <c r="L22" s="27">
        <f t="shared" si="9"/>
        <v>-40.5</v>
      </c>
      <c r="M22" s="28"/>
    </row>
    <row r="23" spans="1:13" ht="12" x14ac:dyDescent="0.3">
      <c r="A23" s="9">
        <v>920</v>
      </c>
      <c r="B23" s="5">
        <v>-80</v>
      </c>
      <c r="C23" s="27">
        <f t="shared" si="0"/>
        <v>-0.04</v>
      </c>
      <c r="D23" s="27">
        <f t="shared" si="1"/>
        <v>-0.08</v>
      </c>
      <c r="E23" s="27">
        <f t="shared" si="2"/>
        <v>-0.16</v>
      </c>
      <c r="F23" s="27">
        <f t="shared" si="3"/>
        <v>-0.32</v>
      </c>
      <c r="G23" s="27">
        <f t="shared" si="4"/>
        <v>-0.4</v>
      </c>
      <c r="H23" s="27">
        <f t="shared" si="5"/>
        <v>-0.8</v>
      </c>
      <c r="I23" s="27">
        <f t="shared" si="6"/>
        <v>-1.6</v>
      </c>
      <c r="J23" s="27">
        <f t="shared" si="7"/>
        <v>-3.2</v>
      </c>
      <c r="K23" s="27">
        <f t="shared" si="8"/>
        <v>-4</v>
      </c>
      <c r="L23" s="27">
        <f t="shared" si="9"/>
        <v>-40</v>
      </c>
      <c r="M23" s="28"/>
    </row>
    <row r="24" spans="1:13" ht="12" x14ac:dyDescent="0.3">
      <c r="A24" s="5">
        <v>921</v>
      </c>
      <c r="B24" s="5">
        <v>-79</v>
      </c>
      <c r="C24" s="27">
        <f t="shared" si="0"/>
        <v>-3.95E-2</v>
      </c>
      <c r="D24" s="27">
        <f t="shared" si="1"/>
        <v>-7.9000000000000001E-2</v>
      </c>
      <c r="E24" s="27">
        <f t="shared" si="2"/>
        <v>-0.158</v>
      </c>
      <c r="F24" s="27">
        <f t="shared" si="3"/>
        <v>-0.316</v>
      </c>
      <c r="G24" s="27">
        <f t="shared" si="4"/>
        <v>-0.39500000000000002</v>
      </c>
      <c r="H24" s="27">
        <f t="shared" si="5"/>
        <v>-0.79</v>
      </c>
      <c r="I24" s="27">
        <f t="shared" si="6"/>
        <v>-1.58</v>
      </c>
      <c r="J24" s="27">
        <f t="shared" si="7"/>
        <v>-3.16</v>
      </c>
      <c r="K24" s="27">
        <f t="shared" si="8"/>
        <v>-3.95</v>
      </c>
      <c r="L24" s="27">
        <f t="shared" si="9"/>
        <v>-39.5</v>
      </c>
      <c r="M24" s="28"/>
    </row>
    <row r="25" spans="1:13" ht="12" x14ac:dyDescent="0.3">
      <c r="A25" s="5">
        <v>922</v>
      </c>
      <c r="B25" s="5">
        <v>-78</v>
      </c>
      <c r="C25" s="27">
        <f t="shared" si="0"/>
        <v>-3.9E-2</v>
      </c>
      <c r="D25" s="27">
        <f t="shared" si="1"/>
        <v>-7.8E-2</v>
      </c>
      <c r="E25" s="27">
        <f t="shared" si="2"/>
        <v>-0.156</v>
      </c>
      <c r="F25" s="27">
        <f t="shared" si="3"/>
        <v>-0.312</v>
      </c>
      <c r="G25" s="27">
        <f t="shared" si="4"/>
        <v>-0.39</v>
      </c>
      <c r="H25" s="27">
        <f t="shared" si="5"/>
        <v>-0.78</v>
      </c>
      <c r="I25" s="27">
        <f t="shared" si="6"/>
        <v>-1.56</v>
      </c>
      <c r="J25" s="27">
        <f t="shared" si="7"/>
        <v>-3.12</v>
      </c>
      <c r="K25" s="27">
        <f t="shared" si="8"/>
        <v>-3.9</v>
      </c>
      <c r="L25" s="27">
        <f t="shared" si="9"/>
        <v>-39</v>
      </c>
      <c r="M25" s="28"/>
    </row>
    <row r="26" spans="1:13" ht="12" x14ac:dyDescent="0.3">
      <c r="A26" s="5">
        <v>923</v>
      </c>
      <c r="B26" s="5">
        <v>-77</v>
      </c>
      <c r="C26" s="27">
        <f t="shared" si="0"/>
        <v>-3.85E-2</v>
      </c>
      <c r="D26" s="27">
        <f t="shared" si="1"/>
        <v>-7.6999999999999999E-2</v>
      </c>
      <c r="E26" s="27">
        <f t="shared" si="2"/>
        <v>-0.154</v>
      </c>
      <c r="F26" s="27">
        <f t="shared" si="3"/>
        <v>-0.308</v>
      </c>
      <c r="G26" s="27">
        <f t="shared" si="4"/>
        <v>-0.38500000000000001</v>
      </c>
      <c r="H26" s="27">
        <f t="shared" si="5"/>
        <v>-0.77</v>
      </c>
      <c r="I26" s="27">
        <f t="shared" si="6"/>
        <v>-1.54</v>
      </c>
      <c r="J26" s="27">
        <f t="shared" si="7"/>
        <v>-3.08</v>
      </c>
      <c r="K26" s="27">
        <f t="shared" si="8"/>
        <v>-3.85</v>
      </c>
      <c r="L26" s="27">
        <f t="shared" si="9"/>
        <v>-38.5</v>
      </c>
      <c r="M26" s="28"/>
    </row>
    <row r="27" spans="1:13" ht="12" x14ac:dyDescent="0.3">
      <c r="A27" s="5">
        <v>924</v>
      </c>
      <c r="B27" s="5">
        <v>-76</v>
      </c>
      <c r="C27" s="27">
        <f t="shared" si="0"/>
        <v>-3.7999999999999999E-2</v>
      </c>
      <c r="D27" s="27">
        <f t="shared" si="1"/>
        <v>-7.5999999999999998E-2</v>
      </c>
      <c r="E27" s="27">
        <f t="shared" si="2"/>
        <v>-0.152</v>
      </c>
      <c r="F27" s="27">
        <f t="shared" si="3"/>
        <v>-0.30399999999999999</v>
      </c>
      <c r="G27" s="27">
        <f t="shared" si="4"/>
        <v>-0.38</v>
      </c>
      <c r="H27" s="27">
        <f t="shared" si="5"/>
        <v>-0.76</v>
      </c>
      <c r="I27" s="27">
        <f t="shared" si="6"/>
        <v>-1.52</v>
      </c>
      <c r="J27" s="27">
        <f t="shared" si="7"/>
        <v>-3.04</v>
      </c>
      <c r="K27" s="27">
        <f t="shared" si="8"/>
        <v>-3.8</v>
      </c>
      <c r="L27" s="27">
        <f t="shared" si="9"/>
        <v>-38</v>
      </c>
      <c r="M27" s="28"/>
    </row>
    <row r="28" spans="1:13" ht="12" x14ac:dyDescent="0.3">
      <c r="A28" s="5">
        <v>925</v>
      </c>
      <c r="B28" s="5">
        <v>-75</v>
      </c>
      <c r="C28" s="27">
        <f t="shared" si="0"/>
        <v>-3.7499999999999999E-2</v>
      </c>
      <c r="D28" s="27">
        <f t="shared" si="1"/>
        <v>-7.4999999999999997E-2</v>
      </c>
      <c r="E28" s="27">
        <f t="shared" si="2"/>
        <v>-0.15</v>
      </c>
      <c r="F28" s="27">
        <f t="shared" si="3"/>
        <v>-0.3</v>
      </c>
      <c r="G28" s="27">
        <f t="shared" si="4"/>
        <v>-0.375</v>
      </c>
      <c r="H28" s="27">
        <f t="shared" si="5"/>
        <v>-0.75</v>
      </c>
      <c r="I28" s="27">
        <f t="shared" si="6"/>
        <v>-1.5</v>
      </c>
      <c r="J28" s="27">
        <f t="shared" si="7"/>
        <v>-3</v>
      </c>
      <c r="K28" s="27">
        <f t="shared" si="8"/>
        <v>-3.75</v>
      </c>
      <c r="L28" s="27">
        <f t="shared" si="9"/>
        <v>-37.5</v>
      </c>
      <c r="M28" s="28"/>
    </row>
    <row r="29" spans="1:13" ht="12" x14ac:dyDescent="0.3">
      <c r="A29" s="5">
        <v>926</v>
      </c>
      <c r="B29" s="5">
        <v>-74</v>
      </c>
      <c r="C29" s="27">
        <f t="shared" si="0"/>
        <v>-3.6999999999999998E-2</v>
      </c>
      <c r="D29" s="27">
        <f t="shared" si="1"/>
        <v>-7.3999999999999996E-2</v>
      </c>
      <c r="E29" s="27">
        <f t="shared" si="2"/>
        <v>-0.14799999999999999</v>
      </c>
      <c r="F29" s="27">
        <f t="shared" si="3"/>
        <v>-0.29599999999999999</v>
      </c>
      <c r="G29" s="27">
        <f t="shared" si="4"/>
        <v>-0.37</v>
      </c>
      <c r="H29" s="27">
        <f t="shared" si="5"/>
        <v>-0.74</v>
      </c>
      <c r="I29" s="27">
        <f t="shared" si="6"/>
        <v>-1.48</v>
      </c>
      <c r="J29" s="27">
        <f t="shared" si="7"/>
        <v>-2.96</v>
      </c>
      <c r="K29" s="27">
        <f t="shared" si="8"/>
        <v>-3.6999999999999997</v>
      </c>
      <c r="L29" s="27">
        <f t="shared" si="9"/>
        <v>-37</v>
      </c>
      <c r="M29" s="28"/>
    </row>
    <row r="30" spans="1:13" ht="12" x14ac:dyDescent="0.3">
      <c r="A30" s="5">
        <v>927</v>
      </c>
      <c r="B30" s="5">
        <v>-73</v>
      </c>
      <c r="C30" s="27">
        <f t="shared" si="0"/>
        <v>-3.6499999999999998E-2</v>
      </c>
      <c r="D30" s="27">
        <f t="shared" si="1"/>
        <v>-7.2999999999999995E-2</v>
      </c>
      <c r="E30" s="27">
        <f t="shared" si="2"/>
        <v>-0.14599999999999999</v>
      </c>
      <c r="F30" s="27">
        <f t="shared" si="3"/>
        <v>-0.29199999999999998</v>
      </c>
      <c r="G30" s="27">
        <f t="shared" si="4"/>
        <v>-0.36499999999999999</v>
      </c>
      <c r="H30" s="27">
        <f t="shared" si="5"/>
        <v>-0.73</v>
      </c>
      <c r="I30" s="27">
        <f t="shared" si="6"/>
        <v>-1.46</v>
      </c>
      <c r="J30" s="27">
        <f t="shared" si="7"/>
        <v>-2.92</v>
      </c>
      <c r="K30" s="27">
        <f t="shared" si="8"/>
        <v>-3.65</v>
      </c>
      <c r="L30" s="27">
        <f t="shared" si="9"/>
        <v>-36.5</v>
      </c>
      <c r="M30" s="28"/>
    </row>
    <row r="31" spans="1:13" ht="12" x14ac:dyDescent="0.3">
      <c r="A31" s="5">
        <v>928</v>
      </c>
      <c r="B31" s="5">
        <v>-72</v>
      </c>
      <c r="C31" s="27">
        <f t="shared" si="0"/>
        <v>-3.5999999999999997E-2</v>
      </c>
      <c r="D31" s="27">
        <f t="shared" si="1"/>
        <v>-7.1999999999999995E-2</v>
      </c>
      <c r="E31" s="27">
        <f t="shared" si="2"/>
        <v>-0.14399999999999999</v>
      </c>
      <c r="F31" s="27">
        <f t="shared" si="3"/>
        <v>-0.28799999999999998</v>
      </c>
      <c r="G31" s="27">
        <f t="shared" si="4"/>
        <v>-0.36</v>
      </c>
      <c r="H31" s="27">
        <f t="shared" si="5"/>
        <v>-0.72</v>
      </c>
      <c r="I31" s="27">
        <f t="shared" si="6"/>
        <v>-1.44</v>
      </c>
      <c r="J31" s="27">
        <f t="shared" si="7"/>
        <v>-2.88</v>
      </c>
      <c r="K31" s="27">
        <f t="shared" si="8"/>
        <v>-3.5999999999999996</v>
      </c>
      <c r="L31" s="27">
        <f t="shared" si="9"/>
        <v>-36</v>
      </c>
      <c r="M31" s="28"/>
    </row>
    <row r="32" spans="1:13" ht="12" x14ac:dyDescent="0.3">
      <c r="A32" s="5">
        <v>929</v>
      </c>
      <c r="B32" s="5">
        <v>-71</v>
      </c>
      <c r="C32" s="27">
        <f t="shared" si="0"/>
        <v>-3.5499999999999997E-2</v>
      </c>
      <c r="D32" s="27">
        <f t="shared" si="1"/>
        <v>-7.0999999999999994E-2</v>
      </c>
      <c r="E32" s="27">
        <f t="shared" si="2"/>
        <v>-0.14199999999999999</v>
      </c>
      <c r="F32" s="27">
        <f t="shared" si="3"/>
        <v>-0.28399999999999997</v>
      </c>
      <c r="G32" s="27">
        <f t="shared" si="4"/>
        <v>-0.35499999999999998</v>
      </c>
      <c r="H32" s="27">
        <f t="shared" si="5"/>
        <v>-0.71</v>
      </c>
      <c r="I32" s="27">
        <f t="shared" si="6"/>
        <v>-1.42</v>
      </c>
      <c r="J32" s="27">
        <f t="shared" si="7"/>
        <v>-2.84</v>
      </c>
      <c r="K32" s="27">
        <f t="shared" si="8"/>
        <v>-3.55</v>
      </c>
      <c r="L32" s="27">
        <f t="shared" si="9"/>
        <v>-35.5</v>
      </c>
      <c r="M32" s="28"/>
    </row>
    <row r="33" spans="1:13" ht="12" x14ac:dyDescent="0.3">
      <c r="A33" s="9">
        <v>930</v>
      </c>
      <c r="B33" s="5">
        <v>-70</v>
      </c>
      <c r="C33" s="15">
        <f t="shared" si="0"/>
        <v>-3.5000000000000003E-2</v>
      </c>
      <c r="D33" s="15">
        <f t="shared" si="1"/>
        <v>-7.0000000000000007E-2</v>
      </c>
      <c r="E33" s="15">
        <f t="shared" si="2"/>
        <v>-0.14000000000000001</v>
      </c>
      <c r="F33" s="15">
        <f t="shared" si="3"/>
        <v>-0.28000000000000003</v>
      </c>
      <c r="G33" s="15">
        <f t="shared" si="4"/>
        <v>-0.35000000000000003</v>
      </c>
      <c r="H33" s="15">
        <f t="shared" si="5"/>
        <v>-0.70000000000000007</v>
      </c>
      <c r="I33" s="15">
        <f t="shared" si="6"/>
        <v>-1.4000000000000001</v>
      </c>
      <c r="J33" s="15">
        <f t="shared" si="7"/>
        <v>-2.8000000000000003</v>
      </c>
      <c r="K33" s="15">
        <f t="shared" si="8"/>
        <v>-3.5000000000000004</v>
      </c>
      <c r="L33" s="15">
        <f t="shared" si="9"/>
        <v>-35</v>
      </c>
      <c r="M33" s="28"/>
    </row>
    <row r="34" spans="1:13" ht="12" x14ac:dyDescent="0.3">
      <c r="A34" s="5">
        <v>931</v>
      </c>
      <c r="B34" s="5">
        <v>-69</v>
      </c>
      <c r="C34" s="27">
        <f t="shared" si="0"/>
        <v>-3.4500000000000003E-2</v>
      </c>
      <c r="D34" s="27">
        <f t="shared" si="1"/>
        <v>-6.9000000000000006E-2</v>
      </c>
      <c r="E34" s="27">
        <f t="shared" si="2"/>
        <v>-0.13800000000000001</v>
      </c>
      <c r="F34" s="27">
        <f t="shared" si="3"/>
        <v>-0.27600000000000002</v>
      </c>
      <c r="G34" s="27">
        <f t="shared" si="4"/>
        <v>-0.34500000000000003</v>
      </c>
      <c r="H34" s="27">
        <f t="shared" si="5"/>
        <v>-0.69000000000000006</v>
      </c>
      <c r="I34" s="27">
        <f t="shared" si="6"/>
        <v>-1.3800000000000001</v>
      </c>
      <c r="J34" s="27">
        <f t="shared" si="7"/>
        <v>-2.7600000000000002</v>
      </c>
      <c r="K34" s="27">
        <f t="shared" si="8"/>
        <v>-3.45</v>
      </c>
      <c r="L34" s="27">
        <f t="shared" si="9"/>
        <v>-34.5</v>
      </c>
      <c r="M34" s="28"/>
    </row>
    <row r="35" spans="1:13" ht="12" x14ac:dyDescent="0.3">
      <c r="A35" s="5">
        <v>932</v>
      </c>
      <c r="B35" s="5">
        <v>-68</v>
      </c>
      <c r="C35" s="27">
        <f t="shared" si="0"/>
        <v>-3.4000000000000002E-2</v>
      </c>
      <c r="D35" s="27">
        <f t="shared" si="1"/>
        <v>-6.8000000000000005E-2</v>
      </c>
      <c r="E35" s="27">
        <f t="shared" si="2"/>
        <v>-0.13600000000000001</v>
      </c>
      <c r="F35" s="27">
        <f t="shared" si="3"/>
        <v>-0.27200000000000002</v>
      </c>
      <c r="G35" s="27">
        <f t="shared" si="4"/>
        <v>-0.34</v>
      </c>
      <c r="H35" s="27">
        <f t="shared" si="5"/>
        <v>-0.68</v>
      </c>
      <c r="I35" s="27">
        <f t="shared" si="6"/>
        <v>-1.36</v>
      </c>
      <c r="J35" s="27">
        <f t="shared" si="7"/>
        <v>-2.72</v>
      </c>
      <c r="K35" s="27">
        <f t="shared" si="8"/>
        <v>-3.4000000000000004</v>
      </c>
      <c r="L35" s="27">
        <f t="shared" si="9"/>
        <v>-34</v>
      </c>
      <c r="M35" s="28"/>
    </row>
    <row r="36" spans="1:13" ht="12" x14ac:dyDescent="0.3">
      <c r="A36" s="5">
        <v>933</v>
      </c>
      <c r="B36" s="5">
        <v>-67</v>
      </c>
      <c r="C36" s="27">
        <f t="shared" si="0"/>
        <v>-3.3500000000000002E-2</v>
      </c>
      <c r="D36" s="27">
        <f t="shared" si="1"/>
        <v>-6.7000000000000004E-2</v>
      </c>
      <c r="E36" s="27">
        <f t="shared" si="2"/>
        <v>-0.13400000000000001</v>
      </c>
      <c r="F36" s="27">
        <f t="shared" si="3"/>
        <v>-0.26800000000000002</v>
      </c>
      <c r="G36" s="27">
        <f t="shared" si="4"/>
        <v>-0.33500000000000002</v>
      </c>
      <c r="H36" s="27">
        <f t="shared" si="5"/>
        <v>-0.67</v>
      </c>
      <c r="I36" s="27">
        <f t="shared" si="6"/>
        <v>-1.34</v>
      </c>
      <c r="J36" s="27">
        <f t="shared" si="7"/>
        <v>-2.68</v>
      </c>
      <c r="K36" s="27">
        <f t="shared" si="8"/>
        <v>-3.35</v>
      </c>
      <c r="L36" s="27">
        <f t="shared" si="9"/>
        <v>-33.5</v>
      </c>
      <c r="M36" s="28"/>
    </row>
    <row r="37" spans="1:13" ht="12" x14ac:dyDescent="0.3">
      <c r="A37" s="5">
        <v>934</v>
      </c>
      <c r="B37" s="5">
        <v>-66</v>
      </c>
      <c r="C37" s="27">
        <f t="shared" si="0"/>
        <v>-3.3000000000000002E-2</v>
      </c>
      <c r="D37" s="27">
        <f t="shared" si="1"/>
        <v>-6.6000000000000003E-2</v>
      </c>
      <c r="E37" s="27">
        <f t="shared" si="2"/>
        <v>-0.13200000000000001</v>
      </c>
      <c r="F37" s="27">
        <f t="shared" si="3"/>
        <v>-0.26400000000000001</v>
      </c>
      <c r="G37" s="27">
        <f t="shared" si="4"/>
        <v>-0.33</v>
      </c>
      <c r="H37" s="27">
        <f t="shared" si="5"/>
        <v>-0.66</v>
      </c>
      <c r="I37" s="27">
        <f t="shared" si="6"/>
        <v>-1.32</v>
      </c>
      <c r="J37" s="27">
        <f t="shared" si="7"/>
        <v>-2.64</v>
      </c>
      <c r="K37" s="27">
        <f t="shared" si="8"/>
        <v>-3.3000000000000003</v>
      </c>
      <c r="L37" s="27">
        <f t="shared" si="9"/>
        <v>-33</v>
      </c>
      <c r="M37" s="28"/>
    </row>
    <row r="38" spans="1:13" ht="12" x14ac:dyDescent="0.3">
      <c r="A38" s="5">
        <v>935</v>
      </c>
      <c r="B38" s="5">
        <v>-65</v>
      </c>
      <c r="C38" s="27">
        <f t="shared" si="0"/>
        <v>-3.2500000000000001E-2</v>
      </c>
      <c r="D38" s="27">
        <f t="shared" si="1"/>
        <v>-6.5000000000000002E-2</v>
      </c>
      <c r="E38" s="27">
        <f t="shared" si="2"/>
        <v>-0.13</v>
      </c>
      <c r="F38" s="27">
        <f t="shared" si="3"/>
        <v>-0.26</v>
      </c>
      <c r="G38" s="27">
        <f t="shared" si="4"/>
        <v>-0.32500000000000001</v>
      </c>
      <c r="H38" s="27">
        <f t="shared" si="5"/>
        <v>-0.65</v>
      </c>
      <c r="I38" s="27">
        <f t="shared" si="6"/>
        <v>-1.3</v>
      </c>
      <c r="J38" s="27">
        <f t="shared" si="7"/>
        <v>-2.6</v>
      </c>
      <c r="K38" s="27">
        <f t="shared" si="8"/>
        <v>-3.25</v>
      </c>
      <c r="L38" s="27">
        <f t="shared" si="9"/>
        <v>-32.5</v>
      </c>
      <c r="M38" s="28"/>
    </row>
    <row r="39" spans="1:13" ht="12" x14ac:dyDescent="0.3">
      <c r="A39" s="5">
        <v>936</v>
      </c>
      <c r="B39" s="5">
        <v>-64</v>
      </c>
      <c r="C39" s="27">
        <f t="shared" si="0"/>
        <v>-3.2000000000000001E-2</v>
      </c>
      <c r="D39" s="27">
        <f t="shared" si="1"/>
        <v>-6.4000000000000001E-2</v>
      </c>
      <c r="E39" s="27">
        <f t="shared" si="2"/>
        <v>-0.128</v>
      </c>
      <c r="F39" s="27">
        <f t="shared" si="3"/>
        <v>-0.25600000000000001</v>
      </c>
      <c r="G39" s="27">
        <f t="shared" si="4"/>
        <v>-0.32</v>
      </c>
      <c r="H39" s="27">
        <f t="shared" si="5"/>
        <v>-0.64</v>
      </c>
      <c r="I39" s="27">
        <f t="shared" si="6"/>
        <v>-1.28</v>
      </c>
      <c r="J39" s="27">
        <f t="shared" si="7"/>
        <v>-2.56</v>
      </c>
      <c r="K39" s="27">
        <f t="shared" si="8"/>
        <v>-3.2</v>
      </c>
      <c r="L39" s="27">
        <f t="shared" si="9"/>
        <v>-32</v>
      </c>
      <c r="M39" s="28"/>
    </row>
    <row r="40" spans="1:13" ht="12" x14ac:dyDescent="0.3">
      <c r="A40" s="5">
        <v>937</v>
      </c>
      <c r="B40" s="5">
        <v>-63</v>
      </c>
      <c r="C40" s="27">
        <f t="shared" si="0"/>
        <v>-3.15E-2</v>
      </c>
      <c r="D40" s="27">
        <f t="shared" si="1"/>
        <v>-6.3E-2</v>
      </c>
      <c r="E40" s="27">
        <f t="shared" si="2"/>
        <v>-0.126</v>
      </c>
      <c r="F40" s="27">
        <f t="shared" si="3"/>
        <v>-0.252</v>
      </c>
      <c r="G40" s="27">
        <f t="shared" si="4"/>
        <v>-0.315</v>
      </c>
      <c r="H40" s="27">
        <f t="shared" si="5"/>
        <v>-0.63</v>
      </c>
      <c r="I40" s="27">
        <f t="shared" si="6"/>
        <v>-1.26</v>
      </c>
      <c r="J40" s="27">
        <f t="shared" si="7"/>
        <v>-2.52</v>
      </c>
      <c r="K40" s="27">
        <f t="shared" si="8"/>
        <v>-3.15</v>
      </c>
      <c r="L40" s="27">
        <f t="shared" si="9"/>
        <v>-31.5</v>
      </c>
      <c r="M40" s="28"/>
    </row>
    <row r="41" spans="1:13" ht="12" x14ac:dyDescent="0.3">
      <c r="A41" s="5">
        <v>938</v>
      </c>
      <c r="B41" s="5">
        <v>-62</v>
      </c>
      <c r="C41" s="27">
        <f t="shared" si="0"/>
        <v>-3.1E-2</v>
      </c>
      <c r="D41" s="27">
        <f t="shared" si="1"/>
        <v>-6.2E-2</v>
      </c>
      <c r="E41" s="27">
        <f t="shared" si="2"/>
        <v>-0.124</v>
      </c>
      <c r="F41" s="27">
        <f t="shared" si="3"/>
        <v>-0.248</v>
      </c>
      <c r="G41" s="27">
        <f t="shared" si="4"/>
        <v>-0.31</v>
      </c>
      <c r="H41" s="27">
        <f t="shared" si="5"/>
        <v>-0.62</v>
      </c>
      <c r="I41" s="27">
        <f t="shared" si="6"/>
        <v>-1.24</v>
      </c>
      <c r="J41" s="27">
        <f t="shared" si="7"/>
        <v>-2.48</v>
      </c>
      <c r="K41" s="27">
        <f t="shared" si="8"/>
        <v>-3.1</v>
      </c>
      <c r="L41" s="27">
        <f t="shared" si="9"/>
        <v>-31</v>
      </c>
      <c r="M41" s="28"/>
    </row>
    <row r="42" spans="1:13" ht="12" x14ac:dyDescent="0.3">
      <c r="A42" s="5">
        <v>939</v>
      </c>
      <c r="B42" s="5">
        <v>-61</v>
      </c>
      <c r="C42" s="27">
        <f t="shared" si="0"/>
        <v>-3.0499999999999999E-2</v>
      </c>
      <c r="D42" s="27">
        <f t="shared" si="1"/>
        <v>-6.0999999999999999E-2</v>
      </c>
      <c r="E42" s="27">
        <f t="shared" si="2"/>
        <v>-0.122</v>
      </c>
      <c r="F42" s="27">
        <f t="shared" si="3"/>
        <v>-0.24399999999999999</v>
      </c>
      <c r="G42" s="27">
        <f t="shared" si="4"/>
        <v>-0.30499999999999999</v>
      </c>
      <c r="H42" s="27">
        <f t="shared" si="5"/>
        <v>-0.61</v>
      </c>
      <c r="I42" s="27">
        <f t="shared" si="6"/>
        <v>-1.22</v>
      </c>
      <c r="J42" s="27">
        <f t="shared" si="7"/>
        <v>-2.44</v>
      </c>
      <c r="K42" s="27">
        <f t="shared" si="8"/>
        <v>-3.05</v>
      </c>
      <c r="L42" s="27">
        <f t="shared" si="9"/>
        <v>-30.5</v>
      </c>
      <c r="M42" s="28"/>
    </row>
    <row r="43" spans="1:13" ht="12" x14ac:dyDescent="0.3">
      <c r="A43" s="9">
        <v>940</v>
      </c>
      <c r="B43" s="5">
        <v>-60</v>
      </c>
      <c r="C43" s="15">
        <f t="shared" si="0"/>
        <v>-0.03</v>
      </c>
      <c r="D43" s="15">
        <f t="shared" si="1"/>
        <v>-0.06</v>
      </c>
      <c r="E43" s="15">
        <f t="shared" si="2"/>
        <v>-0.12</v>
      </c>
      <c r="F43" s="15">
        <f t="shared" si="3"/>
        <v>-0.24</v>
      </c>
      <c r="G43" s="15">
        <f t="shared" si="4"/>
        <v>-0.3</v>
      </c>
      <c r="H43" s="15">
        <f t="shared" si="5"/>
        <v>-0.6</v>
      </c>
      <c r="I43" s="15">
        <f t="shared" si="6"/>
        <v>-1.2</v>
      </c>
      <c r="J43" s="15">
        <f t="shared" si="7"/>
        <v>-2.4</v>
      </c>
      <c r="K43" s="15">
        <f t="shared" si="8"/>
        <v>-3</v>
      </c>
      <c r="L43" s="15">
        <f t="shared" si="9"/>
        <v>-30</v>
      </c>
      <c r="M43" s="28"/>
    </row>
    <row r="44" spans="1:13" ht="12" x14ac:dyDescent="0.3">
      <c r="A44" s="5">
        <v>941</v>
      </c>
      <c r="B44" s="5">
        <v>-59</v>
      </c>
      <c r="C44" s="27">
        <f t="shared" si="0"/>
        <v>-2.9499999999999998E-2</v>
      </c>
      <c r="D44" s="27">
        <f t="shared" si="1"/>
        <v>-5.8999999999999997E-2</v>
      </c>
      <c r="E44" s="27">
        <f t="shared" si="2"/>
        <v>-0.11799999999999999</v>
      </c>
      <c r="F44" s="27">
        <f t="shared" si="3"/>
        <v>-0.23599999999999999</v>
      </c>
      <c r="G44" s="27">
        <f t="shared" si="4"/>
        <v>-0.29499999999999998</v>
      </c>
      <c r="H44" s="27">
        <f t="shared" si="5"/>
        <v>-0.59</v>
      </c>
      <c r="I44" s="27">
        <f t="shared" si="6"/>
        <v>-1.18</v>
      </c>
      <c r="J44" s="27">
        <f t="shared" si="7"/>
        <v>-2.36</v>
      </c>
      <c r="K44" s="27">
        <f t="shared" si="8"/>
        <v>-2.9499999999999997</v>
      </c>
      <c r="L44" s="27">
        <f t="shared" si="9"/>
        <v>-29.5</v>
      </c>
      <c r="M44" s="28"/>
    </row>
    <row r="45" spans="1:13" ht="12" x14ac:dyDescent="0.3">
      <c r="A45" s="5">
        <v>942</v>
      </c>
      <c r="B45" s="5">
        <v>-58</v>
      </c>
      <c r="C45" s="27">
        <f t="shared" si="0"/>
        <v>-2.9000000000000001E-2</v>
      </c>
      <c r="D45" s="27">
        <f t="shared" si="1"/>
        <v>-5.8000000000000003E-2</v>
      </c>
      <c r="E45" s="27">
        <f t="shared" si="2"/>
        <v>-0.11600000000000001</v>
      </c>
      <c r="F45" s="27">
        <f t="shared" si="3"/>
        <v>-0.23200000000000001</v>
      </c>
      <c r="G45" s="27">
        <f t="shared" si="4"/>
        <v>-0.29000000000000004</v>
      </c>
      <c r="H45" s="27">
        <f t="shared" si="5"/>
        <v>-0.58000000000000007</v>
      </c>
      <c r="I45" s="27">
        <f t="shared" si="6"/>
        <v>-1.1600000000000001</v>
      </c>
      <c r="J45" s="27">
        <f t="shared" si="7"/>
        <v>-2.3200000000000003</v>
      </c>
      <c r="K45" s="27">
        <f t="shared" si="8"/>
        <v>-2.9000000000000004</v>
      </c>
      <c r="L45" s="27">
        <f t="shared" si="9"/>
        <v>-29</v>
      </c>
      <c r="M45" s="28"/>
    </row>
    <row r="46" spans="1:13" ht="12" x14ac:dyDescent="0.3">
      <c r="A46" s="5">
        <v>943</v>
      </c>
      <c r="B46" s="5">
        <v>-57</v>
      </c>
      <c r="C46" s="27">
        <f t="shared" si="0"/>
        <v>-2.8500000000000001E-2</v>
      </c>
      <c r="D46" s="27">
        <f t="shared" si="1"/>
        <v>-5.7000000000000002E-2</v>
      </c>
      <c r="E46" s="27">
        <f t="shared" si="2"/>
        <v>-0.114</v>
      </c>
      <c r="F46" s="27">
        <f t="shared" si="3"/>
        <v>-0.22800000000000001</v>
      </c>
      <c r="G46" s="27">
        <f t="shared" si="4"/>
        <v>-0.28500000000000003</v>
      </c>
      <c r="H46" s="27">
        <f t="shared" si="5"/>
        <v>-0.57000000000000006</v>
      </c>
      <c r="I46" s="27">
        <f t="shared" si="6"/>
        <v>-1.1400000000000001</v>
      </c>
      <c r="J46" s="27">
        <f t="shared" si="7"/>
        <v>-2.2800000000000002</v>
      </c>
      <c r="K46" s="27">
        <f t="shared" si="8"/>
        <v>-2.85</v>
      </c>
      <c r="L46" s="27">
        <f t="shared" si="9"/>
        <v>-28.5</v>
      </c>
      <c r="M46" s="28"/>
    </row>
    <row r="47" spans="1:13" ht="12" x14ac:dyDescent="0.3">
      <c r="A47" s="5">
        <v>944</v>
      </c>
      <c r="B47" s="5">
        <v>-56</v>
      </c>
      <c r="C47" s="27">
        <f t="shared" si="0"/>
        <v>-2.8000000000000001E-2</v>
      </c>
      <c r="D47" s="27">
        <f t="shared" si="1"/>
        <v>-5.6000000000000001E-2</v>
      </c>
      <c r="E47" s="27">
        <f t="shared" si="2"/>
        <v>-0.112</v>
      </c>
      <c r="F47" s="27">
        <f t="shared" si="3"/>
        <v>-0.224</v>
      </c>
      <c r="G47" s="27">
        <f t="shared" si="4"/>
        <v>-0.28000000000000003</v>
      </c>
      <c r="H47" s="27">
        <f t="shared" si="5"/>
        <v>-0.56000000000000005</v>
      </c>
      <c r="I47" s="27">
        <f t="shared" si="6"/>
        <v>-1.1200000000000001</v>
      </c>
      <c r="J47" s="27">
        <f t="shared" si="7"/>
        <v>-2.2400000000000002</v>
      </c>
      <c r="K47" s="27">
        <f t="shared" si="8"/>
        <v>-2.8000000000000003</v>
      </c>
      <c r="L47" s="27">
        <f t="shared" si="9"/>
        <v>-28</v>
      </c>
      <c r="M47" s="28"/>
    </row>
    <row r="48" spans="1:13" ht="12" x14ac:dyDescent="0.3">
      <c r="A48" s="5">
        <v>945</v>
      </c>
      <c r="B48" s="5">
        <v>-55</v>
      </c>
      <c r="C48" s="27">
        <f t="shared" si="0"/>
        <v>-2.75E-2</v>
      </c>
      <c r="D48" s="27">
        <f t="shared" si="1"/>
        <v>-5.5E-2</v>
      </c>
      <c r="E48" s="27">
        <f t="shared" si="2"/>
        <v>-0.11</v>
      </c>
      <c r="F48" s="27">
        <f t="shared" si="3"/>
        <v>-0.22</v>
      </c>
      <c r="G48" s="27">
        <f t="shared" si="4"/>
        <v>-0.27500000000000002</v>
      </c>
      <c r="H48" s="27">
        <f t="shared" si="5"/>
        <v>-0.55000000000000004</v>
      </c>
      <c r="I48" s="27">
        <f t="shared" si="6"/>
        <v>-1.1000000000000001</v>
      </c>
      <c r="J48" s="27">
        <f t="shared" si="7"/>
        <v>-2.2000000000000002</v>
      </c>
      <c r="K48" s="27">
        <f t="shared" si="8"/>
        <v>-2.75</v>
      </c>
      <c r="L48" s="27">
        <f t="shared" si="9"/>
        <v>-27.5</v>
      </c>
      <c r="M48" s="28"/>
    </row>
    <row r="49" spans="1:13" ht="12" x14ac:dyDescent="0.3">
      <c r="A49" s="5">
        <v>946</v>
      </c>
      <c r="B49" s="5">
        <v>-54</v>
      </c>
      <c r="C49" s="27">
        <f t="shared" si="0"/>
        <v>-2.7E-2</v>
      </c>
      <c r="D49" s="27">
        <f t="shared" si="1"/>
        <v>-5.3999999999999999E-2</v>
      </c>
      <c r="E49" s="27">
        <f t="shared" si="2"/>
        <v>-0.108</v>
      </c>
      <c r="F49" s="27">
        <f t="shared" si="3"/>
        <v>-0.216</v>
      </c>
      <c r="G49" s="27">
        <f t="shared" si="4"/>
        <v>-0.27</v>
      </c>
      <c r="H49" s="27">
        <f t="shared" si="5"/>
        <v>-0.54</v>
      </c>
      <c r="I49" s="27">
        <f t="shared" si="6"/>
        <v>-1.08</v>
      </c>
      <c r="J49" s="27">
        <f t="shared" si="7"/>
        <v>-2.16</v>
      </c>
      <c r="K49" s="27">
        <f t="shared" si="8"/>
        <v>-2.7</v>
      </c>
      <c r="L49" s="27">
        <f t="shared" si="9"/>
        <v>-27</v>
      </c>
      <c r="M49" s="28"/>
    </row>
    <row r="50" spans="1:13" ht="12" x14ac:dyDescent="0.3">
      <c r="A50" s="5">
        <v>947</v>
      </c>
      <c r="B50" s="5">
        <v>-53</v>
      </c>
      <c r="C50" s="27">
        <f t="shared" si="0"/>
        <v>-2.6499999999999999E-2</v>
      </c>
      <c r="D50" s="27">
        <f t="shared" si="1"/>
        <v>-5.2999999999999999E-2</v>
      </c>
      <c r="E50" s="27">
        <f t="shared" si="2"/>
        <v>-0.106</v>
      </c>
      <c r="F50" s="27">
        <f t="shared" si="3"/>
        <v>-0.21199999999999999</v>
      </c>
      <c r="G50" s="27">
        <f t="shared" si="4"/>
        <v>-0.26500000000000001</v>
      </c>
      <c r="H50" s="27">
        <f t="shared" si="5"/>
        <v>-0.53</v>
      </c>
      <c r="I50" s="27">
        <f t="shared" si="6"/>
        <v>-1.06</v>
      </c>
      <c r="J50" s="27">
        <f t="shared" si="7"/>
        <v>-2.12</v>
      </c>
      <c r="K50" s="27">
        <f t="shared" si="8"/>
        <v>-2.65</v>
      </c>
      <c r="L50" s="27">
        <f t="shared" si="9"/>
        <v>-26.5</v>
      </c>
      <c r="M50" s="28"/>
    </row>
    <row r="51" spans="1:13" ht="12" x14ac:dyDescent="0.3">
      <c r="A51" s="5">
        <v>948</v>
      </c>
      <c r="B51" s="5">
        <v>-52</v>
      </c>
      <c r="C51" s="27">
        <f t="shared" si="0"/>
        <v>-2.5999999999999999E-2</v>
      </c>
      <c r="D51" s="27">
        <f t="shared" si="1"/>
        <v>-5.1999999999999998E-2</v>
      </c>
      <c r="E51" s="27">
        <f t="shared" si="2"/>
        <v>-0.104</v>
      </c>
      <c r="F51" s="27">
        <f t="shared" si="3"/>
        <v>-0.20799999999999999</v>
      </c>
      <c r="G51" s="27">
        <f t="shared" si="4"/>
        <v>-0.26</v>
      </c>
      <c r="H51" s="27">
        <f t="shared" si="5"/>
        <v>-0.52</v>
      </c>
      <c r="I51" s="27">
        <f t="shared" si="6"/>
        <v>-1.04</v>
      </c>
      <c r="J51" s="27">
        <f t="shared" si="7"/>
        <v>-2.08</v>
      </c>
      <c r="K51" s="27">
        <f t="shared" si="8"/>
        <v>-2.6</v>
      </c>
      <c r="L51" s="27">
        <f t="shared" si="9"/>
        <v>-26</v>
      </c>
      <c r="M51" s="28"/>
    </row>
    <row r="52" spans="1:13" ht="12" x14ac:dyDescent="0.3">
      <c r="A52" s="5">
        <v>949</v>
      </c>
      <c r="B52" s="5">
        <v>-51</v>
      </c>
      <c r="C52" s="27">
        <f t="shared" si="0"/>
        <v>-2.5499999999999998E-2</v>
      </c>
      <c r="D52" s="27">
        <f t="shared" si="1"/>
        <v>-5.0999999999999997E-2</v>
      </c>
      <c r="E52" s="27">
        <f t="shared" si="2"/>
        <v>-0.10199999999999999</v>
      </c>
      <c r="F52" s="27">
        <f t="shared" si="3"/>
        <v>-0.20399999999999999</v>
      </c>
      <c r="G52" s="27">
        <f t="shared" si="4"/>
        <v>-0.255</v>
      </c>
      <c r="H52" s="27">
        <f t="shared" si="5"/>
        <v>-0.51</v>
      </c>
      <c r="I52" s="27">
        <f t="shared" si="6"/>
        <v>-1.02</v>
      </c>
      <c r="J52" s="27">
        <f t="shared" si="7"/>
        <v>-2.04</v>
      </c>
      <c r="K52" s="27">
        <f t="shared" si="8"/>
        <v>-2.5499999999999998</v>
      </c>
      <c r="L52" s="27">
        <f t="shared" si="9"/>
        <v>-25.5</v>
      </c>
      <c r="M52" s="28"/>
    </row>
    <row r="53" spans="1:13" ht="12" x14ac:dyDescent="0.3">
      <c r="A53" s="9">
        <v>950</v>
      </c>
      <c r="B53" s="5">
        <v>-50</v>
      </c>
      <c r="C53" s="15">
        <f t="shared" si="0"/>
        <v>-2.5000000000000001E-2</v>
      </c>
      <c r="D53" s="15">
        <f t="shared" si="1"/>
        <v>-0.05</v>
      </c>
      <c r="E53" s="15">
        <f t="shared" si="2"/>
        <v>-0.1</v>
      </c>
      <c r="F53" s="15">
        <f t="shared" si="3"/>
        <v>-0.2</v>
      </c>
      <c r="G53" s="15">
        <f t="shared" si="4"/>
        <v>-0.25</v>
      </c>
      <c r="H53" s="15">
        <f t="shared" si="5"/>
        <v>-0.5</v>
      </c>
      <c r="I53" s="15">
        <f t="shared" si="6"/>
        <v>-1</v>
      </c>
      <c r="J53" s="15">
        <f t="shared" si="7"/>
        <v>-2</v>
      </c>
      <c r="K53" s="15">
        <f t="shared" si="8"/>
        <v>-2.5</v>
      </c>
      <c r="L53" s="15">
        <f t="shared" si="9"/>
        <v>-25</v>
      </c>
      <c r="M53" s="28"/>
    </row>
    <row r="54" spans="1:13" ht="12" x14ac:dyDescent="0.3">
      <c r="A54" s="5">
        <v>951</v>
      </c>
      <c r="B54" s="5">
        <v>-49</v>
      </c>
      <c r="C54" s="27">
        <f t="shared" si="0"/>
        <v>-2.4500000000000001E-2</v>
      </c>
      <c r="D54" s="27">
        <f t="shared" si="1"/>
        <v>-4.9000000000000002E-2</v>
      </c>
      <c r="E54" s="27">
        <f t="shared" si="2"/>
        <v>-9.8000000000000004E-2</v>
      </c>
      <c r="F54" s="27">
        <f t="shared" si="3"/>
        <v>-0.19600000000000001</v>
      </c>
      <c r="G54" s="27">
        <f t="shared" si="4"/>
        <v>-0.245</v>
      </c>
      <c r="H54" s="27">
        <f t="shared" si="5"/>
        <v>-0.49</v>
      </c>
      <c r="I54" s="27">
        <f t="shared" si="6"/>
        <v>-0.98</v>
      </c>
      <c r="J54" s="27">
        <f t="shared" si="7"/>
        <v>-1.96</v>
      </c>
      <c r="K54" s="27">
        <f t="shared" si="8"/>
        <v>-2.4500000000000002</v>
      </c>
      <c r="L54" s="27">
        <f t="shared" si="9"/>
        <v>-24.5</v>
      </c>
      <c r="M54" s="28"/>
    </row>
    <row r="55" spans="1:13" ht="12" x14ac:dyDescent="0.3">
      <c r="A55" s="5">
        <v>952</v>
      </c>
      <c r="B55" s="5">
        <v>-48</v>
      </c>
      <c r="C55" s="27">
        <f t="shared" si="0"/>
        <v>-2.4E-2</v>
      </c>
      <c r="D55" s="27">
        <f t="shared" si="1"/>
        <v>-4.8000000000000001E-2</v>
      </c>
      <c r="E55" s="27">
        <f t="shared" si="2"/>
        <v>-9.6000000000000002E-2</v>
      </c>
      <c r="F55" s="27">
        <f t="shared" si="3"/>
        <v>-0.192</v>
      </c>
      <c r="G55" s="27">
        <f t="shared" si="4"/>
        <v>-0.24</v>
      </c>
      <c r="H55" s="27">
        <f t="shared" si="5"/>
        <v>-0.48</v>
      </c>
      <c r="I55" s="27">
        <f t="shared" si="6"/>
        <v>-0.96</v>
      </c>
      <c r="J55" s="27">
        <f t="shared" si="7"/>
        <v>-1.92</v>
      </c>
      <c r="K55" s="27">
        <f t="shared" si="8"/>
        <v>-2.4</v>
      </c>
      <c r="L55" s="27">
        <f t="shared" si="9"/>
        <v>-24</v>
      </c>
      <c r="M55" s="28"/>
    </row>
    <row r="56" spans="1:13" ht="12" x14ac:dyDescent="0.3">
      <c r="A56" s="5">
        <v>953</v>
      </c>
      <c r="B56" s="5">
        <v>-47</v>
      </c>
      <c r="C56" s="27">
        <f t="shared" si="0"/>
        <v>-2.35E-2</v>
      </c>
      <c r="D56" s="27">
        <f t="shared" si="1"/>
        <v>-4.7E-2</v>
      </c>
      <c r="E56" s="27">
        <f t="shared" si="2"/>
        <v>-9.4E-2</v>
      </c>
      <c r="F56" s="27">
        <f t="shared" si="3"/>
        <v>-0.188</v>
      </c>
      <c r="G56" s="27">
        <f t="shared" si="4"/>
        <v>-0.23499999999999999</v>
      </c>
      <c r="H56" s="27">
        <f t="shared" si="5"/>
        <v>-0.47</v>
      </c>
      <c r="I56" s="27">
        <f t="shared" si="6"/>
        <v>-0.94</v>
      </c>
      <c r="J56" s="27">
        <f t="shared" si="7"/>
        <v>-1.88</v>
      </c>
      <c r="K56" s="27">
        <f t="shared" si="8"/>
        <v>-2.35</v>
      </c>
      <c r="L56" s="27">
        <f t="shared" si="9"/>
        <v>-23.5</v>
      </c>
      <c r="M56" s="28"/>
    </row>
    <row r="57" spans="1:13" ht="12" x14ac:dyDescent="0.3">
      <c r="A57" s="5">
        <v>954</v>
      </c>
      <c r="B57" s="5">
        <v>-46</v>
      </c>
      <c r="C57" s="27">
        <f t="shared" si="0"/>
        <v>-2.3E-2</v>
      </c>
      <c r="D57" s="27">
        <f t="shared" si="1"/>
        <v>-4.5999999999999999E-2</v>
      </c>
      <c r="E57" s="27">
        <f t="shared" si="2"/>
        <v>-9.1999999999999998E-2</v>
      </c>
      <c r="F57" s="27">
        <f t="shared" si="3"/>
        <v>-0.184</v>
      </c>
      <c r="G57" s="27">
        <f t="shared" si="4"/>
        <v>-0.22999999999999998</v>
      </c>
      <c r="H57" s="27">
        <f t="shared" si="5"/>
        <v>-0.45999999999999996</v>
      </c>
      <c r="I57" s="27">
        <f t="shared" si="6"/>
        <v>-0.91999999999999993</v>
      </c>
      <c r="J57" s="27">
        <f t="shared" si="7"/>
        <v>-1.8399999999999999</v>
      </c>
      <c r="K57" s="27">
        <f t="shared" si="8"/>
        <v>-2.2999999999999998</v>
      </c>
      <c r="L57" s="27">
        <f t="shared" si="9"/>
        <v>-23</v>
      </c>
      <c r="M57" s="28"/>
    </row>
    <row r="58" spans="1:13" ht="12" x14ac:dyDescent="0.3">
      <c r="A58" s="5">
        <v>955</v>
      </c>
      <c r="B58" s="5">
        <v>-45</v>
      </c>
      <c r="C58" s="27">
        <f t="shared" si="0"/>
        <v>-2.2499999999999999E-2</v>
      </c>
      <c r="D58" s="27">
        <f t="shared" si="1"/>
        <v>-4.4999999999999998E-2</v>
      </c>
      <c r="E58" s="27">
        <f t="shared" si="2"/>
        <v>-0.09</v>
      </c>
      <c r="F58" s="27">
        <f t="shared" si="3"/>
        <v>-0.18</v>
      </c>
      <c r="G58" s="27">
        <f t="shared" si="4"/>
        <v>-0.22499999999999998</v>
      </c>
      <c r="H58" s="27">
        <f t="shared" si="5"/>
        <v>-0.44999999999999996</v>
      </c>
      <c r="I58" s="27">
        <f t="shared" si="6"/>
        <v>-0.89999999999999991</v>
      </c>
      <c r="J58" s="27">
        <f t="shared" si="7"/>
        <v>-1.7999999999999998</v>
      </c>
      <c r="K58" s="27">
        <f t="shared" si="8"/>
        <v>-2.25</v>
      </c>
      <c r="L58" s="27">
        <f t="shared" si="9"/>
        <v>-22.5</v>
      </c>
      <c r="M58" s="28"/>
    </row>
    <row r="59" spans="1:13" ht="12" x14ac:dyDescent="0.3">
      <c r="A59" s="5">
        <v>956</v>
      </c>
      <c r="B59" s="5">
        <v>-44</v>
      </c>
      <c r="C59" s="27">
        <f t="shared" si="0"/>
        <v>-2.1999999999999999E-2</v>
      </c>
      <c r="D59" s="27">
        <f t="shared" si="1"/>
        <v>-4.3999999999999997E-2</v>
      </c>
      <c r="E59" s="27">
        <f t="shared" si="2"/>
        <v>-8.7999999999999995E-2</v>
      </c>
      <c r="F59" s="27">
        <f t="shared" si="3"/>
        <v>-0.17599999999999999</v>
      </c>
      <c r="G59" s="27">
        <f t="shared" si="4"/>
        <v>-0.21999999999999997</v>
      </c>
      <c r="H59" s="27">
        <f t="shared" si="5"/>
        <v>-0.43999999999999995</v>
      </c>
      <c r="I59" s="27">
        <f t="shared" si="6"/>
        <v>-0.87999999999999989</v>
      </c>
      <c r="J59" s="27">
        <f t="shared" si="7"/>
        <v>-1.7599999999999998</v>
      </c>
      <c r="K59" s="27">
        <f t="shared" si="8"/>
        <v>-2.1999999999999997</v>
      </c>
      <c r="L59" s="27">
        <f t="shared" si="9"/>
        <v>-22</v>
      </c>
      <c r="M59" s="28"/>
    </row>
    <row r="60" spans="1:13" ht="12" x14ac:dyDescent="0.3">
      <c r="A60" s="5">
        <v>957</v>
      </c>
      <c r="B60" s="5">
        <v>-43</v>
      </c>
      <c r="C60" s="27">
        <f t="shared" si="0"/>
        <v>-2.1499999999999998E-2</v>
      </c>
      <c r="D60" s="27">
        <f t="shared" si="1"/>
        <v>-4.2999999999999997E-2</v>
      </c>
      <c r="E60" s="27">
        <f t="shared" si="2"/>
        <v>-8.5999999999999993E-2</v>
      </c>
      <c r="F60" s="27">
        <f t="shared" si="3"/>
        <v>-0.17199999999999999</v>
      </c>
      <c r="G60" s="27">
        <f t="shared" si="4"/>
        <v>-0.21499999999999997</v>
      </c>
      <c r="H60" s="27">
        <f t="shared" si="5"/>
        <v>-0.42999999999999994</v>
      </c>
      <c r="I60" s="27">
        <f t="shared" si="6"/>
        <v>-0.85999999999999988</v>
      </c>
      <c r="J60" s="27">
        <f t="shared" si="7"/>
        <v>-1.7199999999999998</v>
      </c>
      <c r="K60" s="27">
        <f t="shared" si="8"/>
        <v>-2.15</v>
      </c>
      <c r="L60" s="27">
        <f t="shared" si="9"/>
        <v>-21.5</v>
      </c>
      <c r="M60" s="28"/>
    </row>
    <row r="61" spans="1:13" ht="12" x14ac:dyDescent="0.3">
      <c r="A61" s="5">
        <v>958</v>
      </c>
      <c r="B61" s="5">
        <v>-42</v>
      </c>
      <c r="C61" s="27">
        <f t="shared" si="0"/>
        <v>-2.1000000000000001E-2</v>
      </c>
      <c r="D61" s="27">
        <f t="shared" si="1"/>
        <v>-4.2000000000000003E-2</v>
      </c>
      <c r="E61" s="27">
        <f t="shared" si="2"/>
        <v>-8.4000000000000005E-2</v>
      </c>
      <c r="F61" s="27">
        <f t="shared" si="3"/>
        <v>-0.16800000000000001</v>
      </c>
      <c r="G61" s="27">
        <f t="shared" si="4"/>
        <v>-0.21000000000000002</v>
      </c>
      <c r="H61" s="27">
        <f t="shared" si="5"/>
        <v>-0.42000000000000004</v>
      </c>
      <c r="I61" s="27">
        <f t="shared" si="6"/>
        <v>-0.84000000000000008</v>
      </c>
      <c r="J61" s="27">
        <f t="shared" si="7"/>
        <v>-1.6800000000000002</v>
      </c>
      <c r="K61" s="27">
        <f t="shared" si="8"/>
        <v>-2.1</v>
      </c>
      <c r="L61" s="27">
        <f t="shared" si="9"/>
        <v>-21</v>
      </c>
      <c r="M61" s="28"/>
    </row>
    <row r="62" spans="1:13" ht="12" x14ac:dyDescent="0.3">
      <c r="A62" s="5">
        <v>959</v>
      </c>
      <c r="B62" s="5">
        <v>-41</v>
      </c>
      <c r="C62" s="27">
        <f t="shared" si="0"/>
        <v>-2.0500000000000001E-2</v>
      </c>
      <c r="D62" s="27">
        <f t="shared" si="1"/>
        <v>-4.1000000000000002E-2</v>
      </c>
      <c r="E62" s="27">
        <f t="shared" si="2"/>
        <v>-8.2000000000000003E-2</v>
      </c>
      <c r="F62" s="27">
        <f t="shared" si="3"/>
        <v>-0.16400000000000001</v>
      </c>
      <c r="G62" s="27">
        <f t="shared" si="4"/>
        <v>-0.20500000000000002</v>
      </c>
      <c r="H62" s="27">
        <f t="shared" si="5"/>
        <v>-0.41000000000000003</v>
      </c>
      <c r="I62" s="27">
        <f t="shared" si="6"/>
        <v>-0.82000000000000006</v>
      </c>
      <c r="J62" s="27">
        <f t="shared" si="7"/>
        <v>-1.6400000000000001</v>
      </c>
      <c r="K62" s="27">
        <f t="shared" si="8"/>
        <v>-2.0500000000000003</v>
      </c>
      <c r="L62" s="27">
        <f t="shared" si="9"/>
        <v>-20.5</v>
      </c>
      <c r="M62" s="28"/>
    </row>
    <row r="63" spans="1:13" ht="12" x14ac:dyDescent="0.3">
      <c r="A63" s="9">
        <v>960</v>
      </c>
      <c r="B63" s="5">
        <v>-40</v>
      </c>
      <c r="C63" s="15">
        <f t="shared" si="0"/>
        <v>-0.02</v>
      </c>
      <c r="D63" s="15">
        <f t="shared" si="1"/>
        <v>-0.04</v>
      </c>
      <c r="E63" s="15">
        <f t="shared" si="2"/>
        <v>-0.08</v>
      </c>
      <c r="F63" s="15">
        <f t="shared" si="3"/>
        <v>-0.16</v>
      </c>
      <c r="G63" s="15">
        <f t="shared" si="4"/>
        <v>-0.2</v>
      </c>
      <c r="H63" s="15">
        <f t="shared" si="5"/>
        <v>-0.4</v>
      </c>
      <c r="I63" s="15">
        <f t="shared" si="6"/>
        <v>-0.8</v>
      </c>
      <c r="J63" s="15">
        <f t="shared" si="7"/>
        <v>-1.6</v>
      </c>
      <c r="K63" s="15">
        <f t="shared" si="8"/>
        <v>-2</v>
      </c>
      <c r="L63" s="15">
        <f t="shared" si="9"/>
        <v>-20</v>
      </c>
      <c r="M63" s="28"/>
    </row>
    <row r="64" spans="1:13" ht="12" x14ac:dyDescent="0.3">
      <c r="A64" s="5">
        <v>961</v>
      </c>
      <c r="B64" s="5">
        <v>-39</v>
      </c>
      <c r="C64" s="27">
        <f t="shared" si="0"/>
        <v>-1.95E-2</v>
      </c>
      <c r="D64" s="27">
        <f t="shared" si="1"/>
        <v>-3.9E-2</v>
      </c>
      <c r="E64" s="27">
        <f t="shared" si="2"/>
        <v>-7.8E-2</v>
      </c>
      <c r="F64" s="27">
        <f t="shared" si="3"/>
        <v>-0.156</v>
      </c>
      <c r="G64" s="27">
        <f t="shared" si="4"/>
        <v>-0.19500000000000001</v>
      </c>
      <c r="H64" s="27">
        <f t="shared" si="5"/>
        <v>-0.39</v>
      </c>
      <c r="I64" s="27">
        <f t="shared" si="6"/>
        <v>-0.78</v>
      </c>
      <c r="J64" s="27">
        <f t="shared" si="7"/>
        <v>-1.56</v>
      </c>
      <c r="K64" s="27">
        <f t="shared" si="8"/>
        <v>-1.95</v>
      </c>
      <c r="L64" s="27">
        <f t="shared" si="9"/>
        <v>-19.5</v>
      </c>
      <c r="M64" s="28"/>
    </row>
    <row r="65" spans="1:13" ht="15" customHeight="1" x14ac:dyDescent="0.3">
      <c r="A65" s="5">
        <v>962</v>
      </c>
      <c r="B65" s="5">
        <v>-38</v>
      </c>
      <c r="C65" s="27">
        <f t="shared" si="0"/>
        <v>-1.9E-2</v>
      </c>
      <c r="D65" s="27">
        <f t="shared" si="1"/>
        <v>-3.7999999999999999E-2</v>
      </c>
      <c r="E65" s="27">
        <f t="shared" si="2"/>
        <v>-7.5999999999999998E-2</v>
      </c>
      <c r="F65" s="27">
        <f t="shared" si="3"/>
        <v>-0.152</v>
      </c>
      <c r="G65" s="27">
        <f t="shared" si="4"/>
        <v>-0.19</v>
      </c>
      <c r="H65" s="27">
        <f t="shared" si="5"/>
        <v>-0.38</v>
      </c>
      <c r="I65" s="27">
        <f t="shared" si="6"/>
        <v>-0.76</v>
      </c>
      <c r="J65" s="27">
        <f t="shared" si="7"/>
        <v>-1.52</v>
      </c>
      <c r="K65" s="27">
        <f t="shared" si="8"/>
        <v>-1.9</v>
      </c>
      <c r="L65" s="27">
        <f t="shared" si="9"/>
        <v>-19</v>
      </c>
      <c r="M65" s="28"/>
    </row>
    <row r="66" spans="1:13" ht="15" customHeight="1" x14ac:dyDescent="0.3">
      <c r="A66" s="5">
        <v>963</v>
      </c>
      <c r="B66" s="5">
        <v>-37</v>
      </c>
      <c r="C66" s="27">
        <f t="shared" si="0"/>
        <v>-1.8499999999999999E-2</v>
      </c>
      <c r="D66" s="27">
        <f t="shared" si="1"/>
        <v>-3.6999999999999998E-2</v>
      </c>
      <c r="E66" s="27">
        <f t="shared" si="2"/>
        <v>-7.3999999999999996E-2</v>
      </c>
      <c r="F66" s="27">
        <f t="shared" si="3"/>
        <v>-0.14799999999999999</v>
      </c>
      <c r="G66" s="27">
        <f t="shared" si="4"/>
        <v>-0.185</v>
      </c>
      <c r="H66" s="27">
        <f t="shared" si="5"/>
        <v>-0.37</v>
      </c>
      <c r="I66" s="27">
        <f t="shared" si="6"/>
        <v>-0.74</v>
      </c>
      <c r="J66" s="27">
        <f t="shared" si="7"/>
        <v>-1.48</v>
      </c>
      <c r="K66" s="27">
        <f t="shared" si="8"/>
        <v>-1.8499999999999999</v>
      </c>
      <c r="L66" s="27">
        <f t="shared" si="9"/>
        <v>-18.5</v>
      </c>
      <c r="M66" s="28"/>
    </row>
    <row r="67" spans="1:13" ht="15" customHeight="1" x14ac:dyDescent="0.3">
      <c r="A67" s="5">
        <v>964</v>
      </c>
      <c r="B67" s="5">
        <v>-36</v>
      </c>
      <c r="C67" s="27">
        <f t="shared" si="0"/>
        <v>-1.7999999999999999E-2</v>
      </c>
      <c r="D67" s="27">
        <f t="shared" si="1"/>
        <v>-3.5999999999999997E-2</v>
      </c>
      <c r="E67" s="27">
        <f t="shared" si="2"/>
        <v>-7.1999999999999995E-2</v>
      </c>
      <c r="F67" s="27">
        <f t="shared" si="3"/>
        <v>-0.14399999999999999</v>
      </c>
      <c r="G67" s="27">
        <f t="shared" si="4"/>
        <v>-0.18</v>
      </c>
      <c r="H67" s="27">
        <f t="shared" si="5"/>
        <v>-0.36</v>
      </c>
      <c r="I67" s="27">
        <f t="shared" si="6"/>
        <v>-0.72</v>
      </c>
      <c r="J67" s="27">
        <f t="shared" si="7"/>
        <v>-1.44</v>
      </c>
      <c r="K67" s="27">
        <f t="shared" si="8"/>
        <v>-1.7999999999999998</v>
      </c>
      <c r="L67" s="27">
        <f t="shared" si="9"/>
        <v>-18</v>
      </c>
      <c r="M67" s="28"/>
    </row>
    <row r="68" spans="1:13" ht="15" customHeight="1" x14ac:dyDescent="0.3">
      <c r="A68" s="5">
        <v>965</v>
      </c>
      <c r="B68" s="5">
        <v>-35</v>
      </c>
      <c r="C68" s="27">
        <f t="shared" ref="C68:C131" si="10">(1/2)*(B68/1000)*1</f>
        <v>-1.7500000000000002E-2</v>
      </c>
      <c r="D68" s="27">
        <f t="shared" ref="D68:D131" si="11">C68*2</f>
        <v>-3.5000000000000003E-2</v>
      </c>
      <c r="E68" s="27">
        <f t="shared" ref="E68:E131" si="12">C68*4</f>
        <v>-7.0000000000000007E-2</v>
      </c>
      <c r="F68" s="27">
        <f t="shared" ref="F68:F131" si="13">C68*8</f>
        <v>-0.14000000000000001</v>
      </c>
      <c r="G68" s="27">
        <f t="shared" ref="G68:G131" si="14">C68*10</f>
        <v>-0.17500000000000002</v>
      </c>
      <c r="H68" s="27">
        <f t="shared" ref="H68:H131" si="15">C68*20</f>
        <v>-0.35000000000000003</v>
      </c>
      <c r="I68" s="27">
        <f t="shared" ref="I68:I131" si="16">C68*40</f>
        <v>-0.70000000000000007</v>
      </c>
      <c r="J68" s="27">
        <f t="shared" ref="J68:J131" si="17">C68*80</f>
        <v>-1.4000000000000001</v>
      </c>
      <c r="K68" s="27">
        <f t="shared" ref="K68:K131" si="18">C68*100</f>
        <v>-1.7500000000000002</v>
      </c>
      <c r="L68" s="27">
        <f t="shared" ref="L68:L131" si="19">C68*1000</f>
        <v>-17.5</v>
      </c>
      <c r="M68" s="28"/>
    </row>
    <row r="69" spans="1:13" ht="15" customHeight="1" x14ac:dyDescent="0.3">
      <c r="A69" s="5">
        <v>966</v>
      </c>
      <c r="B69" s="5">
        <v>-34</v>
      </c>
      <c r="C69" s="27">
        <f t="shared" si="10"/>
        <v>-1.7000000000000001E-2</v>
      </c>
      <c r="D69" s="27">
        <f t="shared" si="11"/>
        <v>-3.4000000000000002E-2</v>
      </c>
      <c r="E69" s="27">
        <f t="shared" si="12"/>
        <v>-6.8000000000000005E-2</v>
      </c>
      <c r="F69" s="27">
        <f t="shared" si="13"/>
        <v>-0.13600000000000001</v>
      </c>
      <c r="G69" s="27">
        <f t="shared" si="14"/>
        <v>-0.17</v>
      </c>
      <c r="H69" s="27">
        <f t="shared" si="15"/>
        <v>-0.34</v>
      </c>
      <c r="I69" s="27">
        <f t="shared" si="16"/>
        <v>-0.68</v>
      </c>
      <c r="J69" s="27">
        <f t="shared" si="17"/>
        <v>-1.36</v>
      </c>
      <c r="K69" s="27">
        <f t="shared" si="18"/>
        <v>-1.7000000000000002</v>
      </c>
      <c r="L69" s="27">
        <f t="shared" si="19"/>
        <v>-17</v>
      </c>
      <c r="M69" s="28"/>
    </row>
    <row r="70" spans="1:13" ht="15" customHeight="1" x14ac:dyDescent="0.3">
      <c r="A70" s="5">
        <v>967</v>
      </c>
      <c r="B70" s="5">
        <v>-33</v>
      </c>
      <c r="C70" s="27">
        <f t="shared" si="10"/>
        <v>-1.6500000000000001E-2</v>
      </c>
      <c r="D70" s="27">
        <f t="shared" si="11"/>
        <v>-3.3000000000000002E-2</v>
      </c>
      <c r="E70" s="27">
        <f t="shared" si="12"/>
        <v>-6.6000000000000003E-2</v>
      </c>
      <c r="F70" s="27">
        <f t="shared" si="13"/>
        <v>-0.13200000000000001</v>
      </c>
      <c r="G70" s="27">
        <f t="shared" si="14"/>
        <v>-0.16500000000000001</v>
      </c>
      <c r="H70" s="27">
        <f t="shared" si="15"/>
        <v>-0.33</v>
      </c>
      <c r="I70" s="27">
        <f t="shared" si="16"/>
        <v>-0.66</v>
      </c>
      <c r="J70" s="27">
        <f t="shared" si="17"/>
        <v>-1.32</v>
      </c>
      <c r="K70" s="27">
        <f t="shared" si="18"/>
        <v>-1.6500000000000001</v>
      </c>
      <c r="L70" s="27">
        <f t="shared" si="19"/>
        <v>-16.5</v>
      </c>
      <c r="M70" s="28"/>
    </row>
    <row r="71" spans="1:13" ht="15" customHeight="1" x14ac:dyDescent="0.3">
      <c r="A71" s="5">
        <v>968</v>
      </c>
      <c r="B71" s="5">
        <v>-32</v>
      </c>
      <c r="C71" s="27">
        <f t="shared" si="10"/>
        <v>-1.6E-2</v>
      </c>
      <c r="D71" s="27">
        <f t="shared" si="11"/>
        <v>-3.2000000000000001E-2</v>
      </c>
      <c r="E71" s="27">
        <f t="shared" si="12"/>
        <v>-6.4000000000000001E-2</v>
      </c>
      <c r="F71" s="27">
        <f t="shared" si="13"/>
        <v>-0.128</v>
      </c>
      <c r="G71" s="27">
        <f t="shared" si="14"/>
        <v>-0.16</v>
      </c>
      <c r="H71" s="27">
        <f t="shared" si="15"/>
        <v>-0.32</v>
      </c>
      <c r="I71" s="27">
        <f t="shared" si="16"/>
        <v>-0.64</v>
      </c>
      <c r="J71" s="27">
        <f t="shared" si="17"/>
        <v>-1.28</v>
      </c>
      <c r="K71" s="27">
        <f t="shared" si="18"/>
        <v>-1.6</v>
      </c>
      <c r="L71" s="27">
        <f t="shared" si="19"/>
        <v>-16</v>
      </c>
      <c r="M71" s="28"/>
    </row>
    <row r="72" spans="1:13" ht="15" customHeight="1" x14ac:dyDescent="0.3">
      <c r="A72" s="5">
        <v>969</v>
      </c>
      <c r="B72" s="5">
        <v>-31</v>
      </c>
      <c r="C72" s="27">
        <f t="shared" si="10"/>
        <v>-1.55E-2</v>
      </c>
      <c r="D72" s="27">
        <f t="shared" si="11"/>
        <v>-3.1E-2</v>
      </c>
      <c r="E72" s="27">
        <f t="shared" si="12"/>
        <v>-6.2E-2</v>
      </c>
      <c r="F72" s="27">
        <f t="shared" si="13"/>
        <v>-0.124</v>
      </c>
      <c r="G72" s="27">
        <f t="shared" si="14"/>
        <v>-0.155</v>
      </c>
      <c r="H72" s="27">
        <f t="shared" si="15"/>
        <v>-0.31</v>
      </c>
      <c r="I72" s="27">
        <f t="shared" si="16"/>
        <v>-0.62</v>
      </c>
      <c r="J72" s="27">
        <f t="shared" si="17"/>
        <v>-1.24</v>
      </c>
      <c r="K72" s="27">
        <f t="shared" si="18"/>
        <v>-1.55</v>
      </c>
      <c r="L72" s="27">
        <f t="shared" si="19"/>
        <v>-15.5</v>
      </c>
      <c r="M72" s="28"/>
    </row>
    <row r="73" spans="1:13" ht="15" customHeight="1" x14ac:dyDescent="0.3">
      <c r="A73" s="9">
        <v>970</v>
      </c>
      <c r="B73" s="5">
        <v>-30</v>
      </c>
      <c r="C73" s="15">
        <f t="shared" si="10"/>
        <v>-1.4999999999999999E-2</v>
      </c>
      <c r="D73" s="15">
        <f t="shared" si="11"/>
        <v>-0.03</v>
      </c>
      <c r="E73" s="15">
        <f t="shared" si="12"/>
        <v>-0.06</v>
      </c>
      <c r="F73" s="15">
        <f t="shared" si="13"/>
        <v>-0.12</v>
      </c>
      <c r="G73" s="15">
        <f t="shared" si="14"/>
        <v>-0.15</v>
      </c>
      <c r="H73" s="15">
        <f t="shared" si="15"/>
        <v>-0.3</v>
      </c>
      <c r="I73" s="15">
        <f t="shared" si="16"/>
        <v>-0.6</v>
      </c>
      <c r="J73" s="15">
        <f t="shared" si="17"/>
        <v>-1.2</v>
      </c>
      <c r="K73" s="15">
        <f t="shared" si="18"/>
        <v>-1.5</v>
      </c>
      <c r="L73" s="15">
        <f t="shared" si="19"/>
        <v>-15</v>
      </c>
      <c r="M73" s="28"/>
    </row>
    <row r="74" spans="1:13" ht="15" customHeight="1" x14ac:dyDescent="0.3">
      <c r="A74" s="5">
        <v>971</v>
      </c>
      <c r="B74" s="5">
        <v>-29</v>
      </c>
      <c r="C74" s="27">
        <f t="shared" si="10"/>
        <v>-1.4500000000000001E-2</v>
      </c>
      <c r="D74" s="27">
        <f t="shared" si="11"/>
        <v>-2.9000000000000001E-2</v>
      </c>
      <c r="E74" s="27">
        <f t="shared" si="12"/>
        <v>-5.8000000000000003E-2</v>
      </c>
      <c r="F74" s="27">
        <f t="shared" si="13"/>
        <v>-0.11600000000000001</v>
      </c>
      <c r="G74" s="27">
        <f t="shared" si="14"/>
        <v>-0.14500000000000002</v>
      </c>
      <c r="H74" s="27">
        <f t="shared" si="15"/>
        <v>-0.29000000000000004</v>
      </c>
      <c r="I74" s="27">
        <f t="shared" si="16"/>
        <v>-0.58000000000000007</v>
      </c>
      <c r="J74" s="27">
        <f t="shared" si="17"/>
        <v>-1.1600000000000001</v>
      </c>
      <c r="K74" s="27">
        <f t="shared" si="18"/>
        <v>-1.4500000000000002</v>
      </c>
      <c r="L74" s="27">
        <f t="shared" si="19"/>
        <v>-14.5</v>
      </c>
      <c r="M74" s="28"/>
    </row>
    <row r="75" spans="1:13" ht="15" customHeight="1" x14ac:dyDescent="0.3">
      <c r="A75" s="5">
        <v>972</v>
      </c>
      <c r="B75" s="5">
        <v>-28</v>
      </c>
      <c r="C75" s="27">
        <f t="shared" si="10"/>
        <v>-1.4E-2</v>
      </c>
      <c r="D75" s="27">
        <f t="shared" si="11"/>
        <v>-2.8000000000000001E-2</v>
      </c>
      <c r="E75" s="27">
        <f t="shared" si="12"/>
        <v>-5.6000000000000001E-2</v>
      </c>
      <c r="F75" s="27">
        <f t="shared" si="13"/>
        <v>-0.112</v>
      </c>
      <c r="G75" s="27">
        <f t="shared" si="14"/>
        <v>-0.14000000000000001</v>
      </c>
      <c r="H75" s="27">
        <f t="shared" si="15"/>
        <v>-0.28000000000000003</v>
      </c>
      <c r="I75" s="27">
        <f t="shared" si="16"/>
        <v>-0.56000000000000005</v>
      </c>
      <c r="J75" s="27">
        <f t="shared" si="17"/>
        <v>-1.1200000000000001</v>
      </c>
      <c r="K75" s="27">
        <f t="shared" si="18"/>
        <v>-1.4000000000000001</v>
      </c>
      <c r="L75" s="27">
        <f t="shared" si="19"/>
        <v>-14</v>
      </c>
      <c r="M75" s="28"/>
    </row>
    <row r="76" spans="1:13" ht="15" customHeight="1" x14ac:dyDescent="0.3">
      <c r="A76" s="5">
        <v>973</v>
      </c>
      <c r="B76" s="5">
        <v>-27</v>
      </c>
      <c r="C76" s="27">
        <f t="shared" si="10"/>
        <v>-1.35E-2</v>
      </c>
      <c r="D76" s="27">
        <f t="shared" si="11"/>
        <v>-2.7E-2</v>
      </c>
      <c r="E76" s="27">
        <f t="shared" si="12"/>
        <v>-5.3999999999999999E-2</v>
      </c>
      <c r="F76" s="27">
        <f t="shared" si="13"/>
        <v>-0.108</v>
      </c>
      <c r="G76" s="27">
        <f t="shared" si="14"/>
        <v>-0.13500000000000001</v>
      </c>
      <c r="H76" s="27">
        <f t="shared" si="15"/>
        <v>-0.27</v>
      </c>
      <c r="I76" s="27">
        <f t="shared" si="16"/>
        <v>-0.54</v>
      </c>
      <c r="J76" s="27">
        <f t="shared" si="17"/>
        <v>-1.08</v>
      </c>
      <c r="K76" s="27">
        <f t="shared" si="18"/>
        <v>-1.35</v>
      </c>
      <c r="L76" s="27">
        <f t="shared" si="19"/>
        <v>-13.5</v>
      </c>
      <c r="M76" s="28"/>
    </row>
    <row r="77" spans="1:13" ht="15" customHeight="1" x14ac:dyDescent="0.3">
      <c r="A77" s="5">
        <v>974</v>
      </c>
      <c r="B77" s="5">
        <v>-26</v>
      </c>
      <c r="C77" s="27">
        <f t="shared" si="10"/>
        <v>-1.2999999999999999E-2</v>
      </c>
      <c r="D77" s="27">
        <f t="shared" si="11"/>
        <v>-2.5999999999999999E-2</v>
      </c>
      <c r="E77" s="27">
        <f t="shared" si="12"/>
        <v>-5.1999999999999998E-2</v>
      </c>
      <c r="F77" s="27">
        <f t="shared" si="13"/>
        <v>-0.104</v>
      </c>
      <c r="G77" s="27">
        <f t="shared" si="14"/>
        <v>-0.13</v>
      </c>
      <c r="H77" s="27">
        <f t="shared" si="15"/>
        <v>-0.26</v>
      </c>
      <c r="I77" s="27">
        <f t="shared" si="16"/>
        <v>-0.52</v>
      </c>
      <c r="J77" s="27">
        <f t="shared" si="17"/>
        <v>-1.04</v>
      </c>
      <c r="K77" s="27">
        <f t="shared" si="18"/>
        <v>-1.3</v>
      </c>
      <c r="L77" s="27">
        <f t="shared" si="19"/>
        <v>-13</v>
      </c>
      <c r="M77" s="28"/>
    </row>
    <row r="78" spans="1:13" ht="15" customHeight="1" x14ac:dyDescent="0.3">
      <c r="A78" s="5">
        <v>975</v>
      </c>
      <c r="B78" s="5">
        <v>-25</v>
      </c>
      <c r="C78" s="27">
        <f t="shared" si="10"/>
        <v>-1.2500000000000001E-2</v>
      </c>
      <c r="D78" s="27">
        <f t="shared" si="11"/>
        <v>-2.5000000000000001E-2</v>
      </c>
      <c r="E78" s="27">
        <f t="shared" si="12"/>
        <v>-0.05</v>
      </c>
      <c r="F78" s="27">
        <f t="shared" si="13"/>
        <v>-0.1</v>
      </c>
      <c r="G78" s="27">
        <f t="shared" si="14"/>
        <v>-0.125</v>
      </c>
      <c r="H78" s="27">
        <f t="shared" si="15"/>
        <v>-0.25</v>
      </c>
      <c r="I78" s="27">
        <f t="shared" si="16"/>
        <v>-0.5</v>
      </c>
      <c r="J78" s="27">
        <f t="shared" si="17"/>
        <v>-1</v>
      </c>
      <c r="K78" s="27">
        <f t="shared" si="18"/>
        <v>-1.25</v>
      </c>
      <c r="L78" s="27">
        <f t="shared" si="19"/>
        <v>-12.5</v>
      </c>
      <c r="M78" s="28"/>
    </row>
    <row r="79" spans="1:13" ht="15" customHeight="1" x14ac:dyDescent="0.3">
      <c r="A79" s="5">
        <v>976</v>
      </c>
      <c r="B79" s="5">
        <v>-24</v>
      </c>
      <c r="C79" s="27">
        <f t="shared" si="10"/>
        <v>-1.2E-2</v>
      </c>
      <c r="D79" s="27">
        <f t="shared" si="11"/>
        <v>-2.4E-2</v>
      </c>
      <c r="E79" s="27">
        <f t="shared" si="12"/>
        <v>-4.8000000000000001E-2</v>
      </c>
      <c r="F79" s="27">
        <f t="shared" si="13"/>
        <v>-9.6000000000000002E-2</v>
      </c>
      <c r="G79" s="27">
        <f t="shared" si="14"/>
        <v>-0.12</v>
      </c>
      <c r="H79" s="27">
        <f t="shared" si="15"/>
        <v>-0.24</v>
      </c>
      <c r="I79" s="27">
        <f t="shared" si="16"/>
        <v>-0.48</v>
      </c>
      <c r="J79" s="27">
        <f t="shared" si="17"/>
        <v>-0.96</v>
      </c>
      <c r="K79" s="27">
        <f t="shared" si="18"/>
        <v>-1.2</v>
      </c>
      <c r="L79" s="27">
        <f t="shared" si="19"/>
        <v>-12</v>
      </c>
      <c r="M79" s="28"/>
    </row>
    <row r="80" spans="1:13" ht="15" customHeight="1" x14ac:dyDescent="0.3">
      <c r="A80" s="5">
        <v>977</v>
      </c>
      <c r="B80" s="5">
        <v>-23</v>
      </c>
      <c r="C80" s="27">
        <f t="shared" si="10"/>
        <v>-1.15E-2</v>
      </c>
      <c r="D80" s="27">
        <f t="shared" si="11"/>
        <v>-2.3E-2</v>
      </c>
      <c r="E80" s="27">
        <f t="shared" si="12"/>
        <v>-4.5999999999999999E-2</v>
      </c>
      <c r="F80" s="27">
        <f t="shared" si="13"/>
        <v>-9.1999999999999998E-2</v>
      </c>
      <c r="G80" s="27">
        <f t="shared" si="14"/>
        <v>-0.11499999999999999</v>
      </c>
      <c r="H80" s="27">
        <f t="shared" si="15"/>
        <v>-0.22999999999999998</v>
      </c>
      <c r="I80" s="27">
        <f t="shared" si="16"/>
        <v>-0.45999999999999996</v>
      </c>
      <c r="J80" s="27">
        <f t="shared" si="17"/>
        <v>-0.91999999999999993</v>
      </c>
      <c r="K80" s="27">
        <f t="shared" si="18"/>
        <v>-1.1499999999999999</v>
      </c>
      <c r="L80" s="27">
        <f t="shared" si="19"/>
        <v>-11.5</v>
      </c>
      <c r="M80" s="28"/>
    </row>
    <row r="81" spans="1:13" ht="15" customHeight="1" x14ac:dyDescent="0.3">
      <c r="A81" s="5">
        <v>978</v>
      </c>
      <c r="B81" s="5">
        <v>-22</v>
      </c>
      <c r="C81" s="27">
        <f t="shared" si="10"/>
        <v>-1.0999999999999999E-2</v>
      </c>
      <c r="D81" s="27">
        <f t="shared" si="11"/>
        <v>-2.1999999999999999E-2</v>
      </c>
      <c r="E81" s="27">
        <f t="shared" si="12"/>
        <v>-4.3999999999999997E-2</v>
      </c>
      <c r="F81" s="27">
        <f t="shared" si="13"/>
        <v>-8.7999999999999995E-2</v>
      </c>
      <c r="G81" s="27">
        <f t="shared" si="14"/>
        <v>-0.10999999999999999</v>
      </c>
      <c r="H81" s="27">
        <f t="shared" si="15"/>
        <v>-0.21999999999999997</v>
      </c>
      <c r="I81" s="27">
        <f t="shared" si="16"/>
        <v>-0.43999999999999995</v>
      </c>
      <c r="J81" s="27">
        <f t="shared" si="17"/>
        <v>-0.87999999999999989</v>
      </c>
      <c r="K81" s="27">
        <f t="shared" si="18"/>
        <v>-1.0999999999999999</v>
      </c>
      <c r="L81" s="27">
        <f t="shared" si="19"/>
        <v>-11</v>
      </c>
      <c r="M81" s="28"/>
    </row>
    <row r="82" spans="1:13" ht="15" customHeight="1" x14ac:dyDescent="0.3">
      <c r="A82" s="5">
        <v>979</v>
      </c>
      <c r="B82" s="5">
        <v>-21</v>
      </c>
      <c r="C82" s="27">
        <f t="shared" si="10"/>
        <v>-1.0500000000000001E-2</v>
      </c>
      <c r="D82" s="27">
        <f t="shared" si="11"/>
        <v>-2.1000000000000001E-2</v>
      </c>
      <c r="E82" s="27">
        <f t="shared" si="12"/>
        <v>-4.2000000000000003E-2</v>
      </c>
      <c r="F82" s="27">
        <f t="shared" si="13"/>
        <v>-8.4000000000000005E-2</v>
      </c>
      <c r="G82" s="27">
        <f t="shared" si="14"/>
        <v>-0.10500000000000001</v>
      </c>
      <c r="H82" s="27">
        <f t="shared" si="15"/>
        <v>-0.21000000000000002</v>
      </c>
      <c r="I82" s="27">
        <f t="shared" si="16"/>
        <v>-0.42000000000000004</v>
      </c>
      <c r="J82" s="27">
        <f t="shared" si="17"/>
        <v>-0.84000000000000008</v>
      </c>
      <c r="K82" s="27">
        <f t="shared" si="18"/>
        <v>-1.05</v>
      </c>
      <c r="L82" s="27">
        <f t="shared" si="19"/>
        <v>-10.5</v>
      </c>
      <c r="M82" s="28"/>
    </row>
    <row r="83" spans="1:13" ht="15" customHeight="1" x14ac:dyDescent="0.3">
      <c r="A83" s="9">
        <v>980</v>
      </c>
      <c r="B83" s="5">
        <v>-20</v>
      </c>
      <c r="C83" s="15">
        <f t="shared" si="10"/>
        <v>-0.01</v>
      </c>
      <c r="D83" s="15">
        <f t="shared" si="11"/>
        <v>-0.02</v>
      </c>
      <c r="E83" s="15">
        <f t="shared" si="12"/>
        <v>-0.04</v>
      </c>
      <c r="F83" s="15">
        <f t="shared" si="13"/>
        <v>-0.08</v>
      </c>
      <c r="G83" s="15">
        <f t="shared" si="14"/>
        <v>-0.1</v>
      </c>
      <c r="H83" s="15">
        <f t="shared" si="15"/>
        <v>-0.2</v>
      </c>
      <c r="I83" s="15">
        <f t="shared" si="16"/>
        <v>-0.4</v>
      </c>
      <c r="J83" s="15">
        <f t="shared" si="17"/>
        <v>-0.8</v>
      </c>
      <c r="K83" s="15">
        <f t="shared" si="18"/>
        <v>-1</v>
      </c>
      <c r="L83" s="15">
        <f t="shared" si="19"/>
        <v>-10</v>
      </c>
      <c r="M83" s="28"/>
    </row>
    <row r="84" spans="1:13" ht="15" customHeight="1" x14ac:dyDescent="0.3">
      <c r="A84" s="5">
        <v>981</v>
      </c>
      <c r="B84" s="5">
        <v>-19</v>
      </c>
      <c r="C84" s="27">
        <f t="shared" si="10"/>
        <v>-9.4999999999999998E-3</v>
      </c>
      <c r="D84" s="27">
        <f t="shared" si="11"/>
        <v>-1.9E-2</v>
      </c>
      <c r="E84" s="27">
        <f t="shared" si="12"/>
        <v>-3.7999999999999999E-2</v>
      </c>
      <c r="F84" s="27">
        <f t="shared" si="13"/>
        <v>-7.5999999999999998E-2</v>
      </c>
      <c r="G84" s="27">
        <f t="shared" si="14"/>
        <v>-9.5000000000000001E-2</v>
      </c>
      <c r="H84" s="27">
        <f t="shared" si="15"/>
        <v>-0.19</v>
      </c>
      <c r="I84" s="27">
        <f t="shared" si="16"/>
        <v>-0.38</v>
      </c>
      <c r="J84" s="27">
        <f t="shared" si="17"/>
        <v>-0.76</v>
      </c>
      <c r="K84" s="27">
        <f t="shared" si="18"/>
        <v>-0.95</v>
      </c>
      <c r="L84" s="27">
        <f t="shared" si="19"/>
        <v>-9.5</v>
      </c>
      <c r="M84" s="28"/>
    </row>
    <row r="85" spans="1:13" ht="15" customHeight="1" x14ac:dyDescent="0.3">
      <c r="A85" s="5">
        <v>982</v>
      </c>
      <c r="B85" s="5">
        <v>-18</v>
      </c>
      <c r="C85" s="27">
        <f t="shared" si="10"/>
        <v>-8.9999999999999993E-3</v>
      </c>
      <c r="D85" s="27">
        <f t="shared" si="11"/>
        <v>-1.7999999999999999E-2</v>
      </c>
      <c r="E85" s="27">
        <f t="shared" si="12"/>
        <v>-3.5999999999999997E-2</v>
      </c>
      <c r="F85" s="27">
        <f t="shared" si="13"/>
        <v>-7.1999999999999995E-2</v>
      </c>
      <c r="G85" s="27">
        <f t="shared" si="14"/>
        <v>-0.09</v>
      </c>
      <c r="H85" s="27">
        <f t="shared" si="15"/>
        <v>-0.18</v>
      </c>
      <c r="I85" s="27">
        <f t="shared" si="16"/>
        <v>-0.36</v>
      </c>
      <c r="J85" s="27">
        <f t="shared" si="17"/>
        <v>-0.72</v>
      </c>
      <c r="K85" s="27">
        <f t="shared" si="18"/>
        <v>-0.89999999999999991</v>
      </c>
      <c r="L85" s="27">
        <f t="shared" si="19"/>
        <v>-9</v>
      </c>
      <c r="M85" s="28"/>
    </row>
    <row r="86" spans="1:13" ht="15" customHeight="1" x14ac:dyDescent="0.3">
      <c r="A86" s="5">
        <v>983</v>
      </c>
      <c r="B86" s="5">
        <v>-17</v>
      </c>
      <c r="C86" s="27">
        <f t="shared" si="10"/>
        <v>-8.5000000000000006E-3</v>
      </c>
      <c r="D86" s="27">
        <f t="shared" si="11"/>
        <v>-1.7000000000000001E-2</v>
      </c>
      <c r="E86" s="27">
        <f t="shared" si="12"/>
        <v>-3.4000000000000002E-2</v>
      </c>
      <c r="F86" s="27">
        <f t="shared" si="13"/>
        <v>-6.8000000000000005E-2</v>
      </c>
      <c r="G86" s="27">
        <f t="shared" si="14"/>
        <v>-8.5000000000000006E-2</v>
      </c>
      <c r="H86" s="27">
        <f t="shared" si="15"/>
        <v>-0.17</v>
      </c>
      <c r="I86" s="27">
        <f t="shared" si="16"/>
        <v>-0.34</v>
      </c>
      <c r="J86" s="27">
        <f t="shared" si="17"/>
        <v>-0.68</v>
      </c>
      <c r="K86" s="27">
        <f t="shared" si="18"/>
        <v>-0.85000000000000009</v>
      </c>
      <c r="L86" s="27">
        <f t="shared" si="19"/>
        <v>-8.5</v>
      </c>
      <c r="M86" s="28"/>
    </row>
    <row r="87" spans="1:13" ht="15" customHeight="1" x14ac:dyDescent="0.3">
      <c r="A87" s="5">
        <v>984</v>
      </c>
      <c r="B87" s="5">
        <v>-16</v>
      </c>
      <c r="C87" s="27">
        <f t="shared" si="10"/>
        <v>-8.0000000000000002E-3</v>
      </c>
      <c r="D87" s="27">
        <f t="shared" si="11"/>
        <v>-1.6E-2</v>
      </c>
      <c r="E87" s="27">
        <f t="shared" si="12"/>
        <v>-3.2000000000000001E-2</v>
      </c>
      <c r="F87" s="27">
        <f t="shared" si="13"/>
        <v>-6.4000000000000001E-2</v>
      </c>
      <c r="G87" s="27">
        <f t="shared" si="14"/>
        <v>-0.08</v>
      </c>
      <c r="H87" s="27">
        <f t="shared" si="15"/>
        <v>-0.16</v>
      </c>
      <c r="I87" s="27">
        <f t="shared" si="16"/>
        <v>-0.32</v>
      </c>
      <c r="J87" s="27">
        <f t="shared" si="17"/>
        <v>-0.64</v>
      </c>
      <c r="K87" s="27">
        <f t="shared" si="18"/>
        <v>-0.8</v>
      </c>
      <c r="L87" s="27">
        <f t="shared" si="19"/>
        <v>-8</v>
      </c>
      <c r="M87" s="28"/>
    </row>
    <row r="88" spans="1:13" ht="15" customHeight="1" x14ac:dyDescent="0.3">
      <c r="A88" s="5">
        <v>985</v>
      </c>
      <c r="B88" s="5">
        <v>-15</v>
      </c>
      <c r="C88" s="27">
        <f t="shared" si="10"/>
        <v>-7.4999999999999997E-3</v>
      </c>
      <c r="D88" s="27">
        <f t="shared" si="11"/>
        <v>-1.4999999999999999E-2</v>
      </c>
      <c r="E88" s="27">
        <f t="shared" si="12"/>
        <v>-0.03</v>
      </c>
      <c r="F88" s="27">
        <f t="shared" si="13"/>
        <v>-0.06</v>
      </c>
      <c r="G88" s="27">
        <f t="shared" si="14"/>
        <v>-7.4999999999999997E-2</v>
      </c>
      <c r="H88" s="27">
        <f t="shared" si="15"/>
        <v>-0.15</v>
      </c>
      <c r="I88" s="27">
        <f t="shared" si="16"/>
        <v>-0.3</v>
      </c>
      <c r="J88" s="27">
        <f t="shared" si="17"/>
        <v>-0.6</v>
      </c>
      <c r="K88" s="27">
        <f t="shared" si="18"/>
        <v>-0.75</v>
      </c>
      <c r="L88" s="27">
        <f t="shared" si="19"/>
        <v>-7.5</v>
      </c>
      <c r="M88" s="28"/>
    </row>
    <row r="89" spans="1:13" ht="15" customHeight="1" x14ac:dyDescent="0.3">
      <c r="A89" s="5">
        <v>986</v>
      </c>
      <c r="B89" s="5">
        <v>-14</v>
      </c>
      <c r="C89" s="27">
        <f t="shared" si="10"/>
        <v>-7.0000000000000001E-3</v>
      </c>
      <c r="D89" s="27">
        <f t="shared" si="11"/>
        <v>-1.4E-2</v>
      </c>
      <c r="E89" s="27">
        <f t="shared" si="12"/>
        <v>-2.8000000000000001E-2</v>
      </c>
      <c r="F89" s="27">
        <f t="shared" si="13"/>
        <v>-5.6000000000000001E-2</v>
      </c>
      <c r="G89" s="27">
        <f t="shared" si="14"/>
        <v>-7.0000000000000007E-2</v>
      </c>
      <c r="H89" s="27">
        <f t="shared" si="15"/>
        <v>-0.14000000000000001</v>
      </c>
      <c r="I89" s="27">
        <f t="shared" si="16"/>
        <v>-0.28000000000000003</v>
      </c>
      <c r="J89" s="27">
        <f t="shared" si="17"/>
        <v>-0.56000000000000005</v>
      </c>
      <c r="K89" s="27">
        <f t="shared" si="18"/>
        <v>-0.70000000000000007</v>
      </c>
      <c r="L89" s="27">
        <f t="shared" si="19"/>
        <v>-7</v>
      </c>
      <c r="M89" s="28"/>
    </row>
    <row r="90" spans="1:13" ht="15" customHeight="1" x14ac:dyDescent="0.3">
      <c r="A90" s="5">
        <v>987</v>
      </c>
      <c r="B90" s="5">
        <v>-13</v>
      </c>
      <c r="C90" s="27">
        <f t="shared" si="10"/>
        <v>-6.4999999999999997E-3</v>
      </c>
      <c r="D90" s="27">
        <f t="shared" si="11"/>
        <v>-1.2999999999999999E-2</v>
      </c>
      <c r="E90" s="27">
        <f t="shared" si="12"/>
        <v>-2.5999999999999999E-2</v>
      </c>
      <c r="F90" s="27">
        <f t="shared" si="13"/>
        <v>-5.1999999999999998E-2</v>
      </c>
      <c r="G90" s="27">
        <f t="shared" si="14"/>
        <v>-6.5000000000000002E-2</v>
      </c>
      <c r="H90" s="27">
        <f t="shared" si="15"/>
        <v>-0.13</v>
      </c>
      <c r="I90" s="27">
        <f t="shared" si="16"/>
        <v>-0.26</v>
      </c>
      <c r="J90" s="27">
        <f t="shared" si="17"/>
        <v>-0.52</v>
      </c>
      <c r="K90" s="27">
        <f t="shared" si="18"/>
        <v>-0.65</v>
      </c>
      <c r="L90" s="27">
        <f t="shared" si="19"/>
        <v>-6.5</v>
      </c>
      <c r="M90" s="28"/>
    </row>
    <row r="91" spans="1:13" ht="15" customHeight="1" x14ac:dyDescent="0.3">
      <c r="A91" s="5">
        <v>988</v>
      </c>
      <c r="B91" s="5">
        <v>-12</v>
      </c>
      <c r="C91" s="27">
        <f t="shared" si="10"/>
        <v>-6.0000000000000001E-3</v>
      </c>
      <c r="D91" s="27">
        <f t="shared" si="11"/>
        <v>-1.2E-2</v>
      </c>
      <c r="E91" s="27">
        <f t="shared" si="12"/>
        <v>-2.4E-2</v>
      </c>
      <c r="F91" s="27">
        <f t="shared" si="13"/>
        <v>-4.8000000000000001E-2</v>
      </c>
      <c r="G91" s="27">
        <f t="shared" si="14"/>
        <v>-0.06</v>
      </c>
      <c r="H91" s="27">
        <f t="shared" si="15"/>
        <v>-0.12</v>
      </c>
      <c r="I91" s="27">
        <f t="shared" si="16"/>
        <v>-0.24</v>
      </c>
      <c r="J91" s="27">
        <f t="shared" si="17"/>
        <v>-0.48</v>
      </c>
      <c r="K91" s="27">
        <f t="shared" si="18"/>
        <v>-0.6</v>
      </c>
      <c r="L91" s="27">
        <f t="shared" si="19"/>
        <v>-6</v>
      </c>
      <c r="M91" s="28"/>
    </row>
    <row r="92" spans="1:13" ht="15" customHeight="1" x14ac:dyDescent="0.3">
      <c r="A92" s="5">
        <v>989</v>
      </c>
      <c r="B92" s="5">
        <v>-11</v>
      </c>
      <c r="C92" s="27">
        <f t="shared" si="10"/>
        <v>-5.4999999999999997E-3</v>
      </c>
      <c r="D92" s="27">
        <f t="shared" si="11"/>
        <v>-1.0999999999999999E-2</v>
      </c>
      <c r="E92" s="27">
        <f t="shared" si="12"/>
        <v>-2.1999999999999999E-2</v>
      </c>
      <c r="F92" s="27">
        <f t="shared" si="13"/>
        <v>-4.3999999999999997E-2</v>
      </c>
      <c r="G92" s="27">
        <f t="shared" si="14"/>
        <v>-5.4999999999999993E-2</v>
      </c>
      <c r="H92" s="27">
        <f t="shared" si="15"/>
        <v>-0.10999999999999999</v>
      </c>
      <c r="I92" s="27">
        <f t="shared" si="16"/>
        <v>-0.21999999999999997</v>
      </c>
      <c r="J92" s="27">
        <f t="shared" si="17"/>
        <v>-0.43999999999999995</v>
      </c>
      <c r="K92" s="27">
        <f t="shared" si="18"/>
        <v>-0.54999999999999993</v>
      </c>
      <c r="L92" s="27">
        <f t="shared" si="19"/>
        <v>-5.5</v>
      </c>
      <c r="M92" s="28"/>
    </row>
    <row r="93" spans="1:13" ht="15" customHeight="1" x14ac:dyDescent="0.3">
      <c r="A93" s="9">
        <v>990</v>
      </c>
      <c r="B93" s="5">
        <v>-10</v>
      </c>
      <c r="C93" s="15">
        <f t="shared" si="10"/>
        <v>-5.0000000000000001E-3</v>
      </c>
      <c r="D93" s="15">
        <f t="shared" si="11"/>
        <v>-0.01</v>
      </c>
      <c r="E93" s="15">
        <f t="shared" si="12"/>
        <v>-0.02</v>
      </c>
      <c r="F93" s="15">
        <f t="shared" si="13"/>
        <v>-0.04</v>
      </c>
      <c r="G93" s="15">
        <f t="shared" si="14"/>
        <v>-0.05</v>
      </c>
      <c r="H93" s="15">
        <f t="shared" si="15"/>
        <v>-0.1</v>
      </c>
      <c r="I93" s="15">
        <f t="shared" si="16"/>
        <v>-0.2</v>
      </c>
      <c r="J93" s="15">
        <f t="shared" si="17"/>
        <v>-0.4</v>
      </c>
      <c r="K93" s="15">
        <f t="shared" si="18"/>
        <v>-0.5</v>
      </c>
      <c r="L93" s="15">
        <f t="shared" si="19"/>
        <v>-5</v>
      </c>
      <c r="M93" s="28"/>
    </row>
    <row r="94" spans="1:13" ht="15" customHeight="1" x14ac:dyDescent="0.3">
      <c r="A94" s="5">
        <v>991</v>
      </c>
      <c r="B94" s="5">
        <v>-9</v>
      </c>
      <c r="C94" s="27">
        <f t="shared" si="10"/>
        <v>-4.4999999999999997E-3</v>
      </c>
      <c r="D94" s="27">
        <f t="shared" si="11"/>
        <v>-8.9999999999999993E-3</v>
      </c>
      <c r="E94" s="27">
        <f t="shared" si="12"/>
        <v>-1.7999999999999999E-2</v>
      </c>
      <c r="F94" s="27">
        <f t="shared" si="13"/>
        <v>-3.5999999999999997E-2</v>
      </c>
      <c r="G94" s="27">
        <f t="shared" si="14"/>
        <v>-4.4999999999999998E-2</v>
      </c>
      <c r="H94" s="27">
        <f t="shared" si="15"/>
        <v>-0.09</v>
      </c>
      <c r="I94" s="27">
        <f t="shared" si="16"/>
        <v>-0.18</v>
      </c>
      <c r="J94" s="27">
        <f t="shared" si="17"/>
        <v>-0.36</v>
      </c>
      <c r="K94" s="27">
        <f t="shared" si="18"/>
        <v>-0.44999999999999996</v>
      </c>
      <c r="L94" s="27">
        <f t="shared" si="19"/>
        <v>-4.5</v>
      </c>
      <c r="M94" s="28"/>
    </row>
    <row r="95" spans="1:13" ht="15" customHeight="1" x14ac:dyDescent="0.3">
      <c r="A95" s="5">
        <v>992</v>
      </c>
      <c r="B95" s="5">
        <v>-8</v>
      </c>
      <c r="C95" s="27">
        <f t="shared" si="10"/>
        <v>-4.0000000000000001E-3</v>
      </c>
      <c r="D95" s="27">
        <f t="shared" si="11"/>
        <v>-8.0000000000000002E-3</v>
      </c>
      <c r="E95" s="27">
        <f t="shared" si="12"/>
        <v>-1.6E-2</v>
      </c>
      <c r="F95" s="27">
        <f t="shared" si="13"/>
        <v>-3.2000000000000001E-2</v>
      </c>
      <c r="G95" s="27">
        <f t="shared" si="14"/>
        <v>-0.04</v>
      </c>
      <c r="H95" s="27">
        <f t="shared" si="15"/>
        <v>-0.08</v>
      </c>
      <c r="I95" s="27">
        <f t="shared" si="16"/>
        <v>-0.16</v>
      </c>
      <c r="J95" s="27">
        <f t="shared" si="17"/>
        <v>-0.32</v>
      </c>
      <c r="K95" s="27">
        <f t="shared" si="18"/>
        <v>-0.4</v>
      </c>
      <c r="L95" s="27">
        <f t="shared" si="19"/>
        <v>-4</v>
      </c>
      <c r="M95" s="28"/>
    </row>
    <row r="96" spans="1:13" ht="15" customHeight="1" x14ac:dyDescent="0.3">
      <c r="A96" s="5">
        <v>993</v>
      </c>
      <c r="B96" s="5">
        <v>-7</v>
      </c>
      <c r="C96" s="27">
        <f t="shared" si="10"/>
        <v>-3.5000000000000001E-3</v>
      </c>
      <c r="D96" s="27">
        <f t="shared" si="11"/>
        <v>-7.0000000000000001E-3</v>
      </c>
      <c r="E96" s="27">
        <f t="shared" si="12"/>
        <v>-1.4E-2</v>
      </c>
      <c r="F96" s="27">
        <f t="shared" si="13"/>
        <v>-2.8000000000000001E-2</v>
      </c>
      <c r="G96" s="27">
        <f t="shared" si="14"/>
        <v>-3.5000000000000003E-2</v>
      </c>
      <c r="H96" s="27">
        <f t="shared" si="15"/>
        <v>-7.0000000000000007E-2</v>
      </c>
      <c r="I96" s="27">
        <f t="shared" si="16"/>
        <v>-0.14000000000000001</v>
      </c>
      <c r="J96" s="27">
        <f t="shared" si="17"/>
        <v>-0.28000000000000003</v>
      </c>
      <c r="K96" s="27">
        <f t="shared" si="18"/>
        <v>-0.35000000000000003</v>
      </c>
      <c r="L96" s="27">
        <f t="shared" si="19"/>
        <v>-3.5</v>
      </c>
      <c r="M96" s="28"/>
    </row>
    <row r="97" spans="1:13" ht="15" customHeight="1" x14ac:dyDescent="0.3">
      <c r="A97" s="5">
        <v>994</v>
      </c>
      <c r="B97" s="5">
        <v>-6</v>
      </c>
      <c r="C97" s="27">
        <f t="shared" si="10"/>
        <v>-3.0000000000000001E-3</v>
      </c>
      <c r="D97" s="27">
        <f t="shared" si="11"/>
        <v>-6.0000000000000001E-3</v>
      </c>
      <c r="E97" s="27">
        <f t="shared" si="12"/>
        <v>-1.2E-2</v>
      </c>
      <c r="F97" s="27">
        <f t="shared" si="13"/>
        <v>-2.4E-2</v>
      </c>
      <c r="G97" s="27">
        <f t="shared" si="14"/>
        <v>-0.03</v>
      </c>
      <c r="H97" s="27">
        <f t="shared" si="15"/>
        <v>-0.06</v>
      </c>
      <c r="I97" s="27">
        <f t="shared" si="16"/>
        <v>-0.12</v>
      </c>
      <c r="J97" s="27">
        <f t="shared" si="17"/>
        <v>-0.24</v>
      </c>
      <c r="K97" s="27">
        <f t="shared" si="18"/>
        <v>-0.3</v>
      </c>
      <c r="L97" s="27">
        <f t="shared" si="19"/>
        <v>-3</v>
      </c>
      <c r="M97" s="28"/>
    </row>
    <row r="98" spans="1:13" ht="15" customHeight="1" x14ac:dyDescent="0.3">
      <c r="A98" s="5">
        <v>995</v>
      </c>
      <c r="B98" s="5">
        <v>-5</v>
      </c>
      <c r="C98" s="27">
        <f t="shared" si="10"/>
        <v>-2.5000000000000001E-3</v>
      </c>
      <c r="D98" s="27">
        <f t="shared" si="11"/>
        <v>-5.0000000000000001E-3</v>
      </c>
      <c r="E98" s="27">
        <f t="shared" si="12"/>
        <v>-0.01</v>
      </c>
      <c r="F98" s="27">
        <f t="shared" si="13"/>
        <v>-0.02</v>
      </c>
      <c r="G98" s="27">
        <f t="shared" si="14"/>
        <v>-2.5000000000000001E-2</v>
      </c>
      <c r="H98" s="27">
        <f t="shared" si="15"/>
        <v>-0.05</v>
      </c>
      <c r="I98" s="27">
        <f t="shared" si="16"/>
        <v>-0.1</v>
      </c>
      <c r="J98" s="27">
        <f t="shared" si="17"/>
        <v>-0.2</v>
      </c>
      <c r="K98" s="27">
        <f t="shared" si="18"/>
        <v>-0.25</v>
      </c>
      <c r="L98" s="27">
        <f t="shared" si="19"/>
        <v>-2.5</v>
      </c>
      <c r="M98" s="28"/>
    </row>
    <row r="99" spans="1:13" ht="15" customHeight="1" x14ac:dyDescent="0.3">
      <c r="A99" s="5">
        <v>996</v>
      </c>
      <c r="B99" s="5">
        <v>-4</v>
      </c>
      <c r="C99" s="27">
        <f t="shared" si="10"/>
        <v>-2E-3</v>
      </c>
      <c r="D99" s="27">
        <f t="shared" si="11"/>
        <v>-4.0000000000000001E-3</v>
      </c>
      <c r="E99" s="27">
        <f t="shared" si="12"/>
        <v>-8.0000000000000002E-3</v>
      </c>
      <c r="F99" s="27">
        <f t="shared" si="13"/>
        <v>-1.6E-2</v>
      </c>
      <c r="G99" s="27">
        <f t="shared" si="14"/>
        <v>-0.02</v>
      </c>
      <c r="H99" s="27">
        <f t="shared" si="15"/>
        <v>-0.04</v>
      </c>
      <c r="I99" s="27">
        <f t="shared" si="16"/>
        <v>-0.08</v>
      </c>
      <c r="J99" s="27">
        <f t="shared" si="17"/>
        <v>-0.16</v>
      </c>
      <c r="K99" s="27">
        <f t="shared" si="18"/>
        <v>-0.2</v>
      </c>
      <c r="L99" s="27">
        <f t="shared" si="19"/>
        <v>-2</v>
      </c>
      <c r="M99" s="28"/>
    </row>
    <row r="100" spans="1:13" ht="15" customHeight="1" x14ac:dyDescent="0.3">
      <c r="A100" s="5">
        <v>997</v>
      </c>
      <c r="B100" s="5">
        <v>-3</v>
      </c>
      <c r="C100" s="27">
        <f t="shared" si="10"/>
        <v>-1.5E-3</v>
      </c>
      <c r="D100" s="27">
        <f t="shared" si="11"/>
        <v>-3.0000000000000001E-3</v>
      </c>
      <c r="E100" s="27">
        <f t="shared" si="12"/>
        <v>-6.0000000000000001E-3</v>
      </c>
      <c r="F100" s="27">
        <f t="shared" si="13"/>
        <v>-1.2E-2</v>
      </c>
      <c r="G100" s="27">
        <f t="shared" si="14"/>
        <v>-1.4999999999999999E-2</v>
      </c>
      <c r="H100" s="27">
        <f t="shared" si="15"/>
        <v>-0.03</v>
      </c>
      <c r="I100" s="27">
        <f t="shared" si="16"/>
        <v>-0.06</v>
      </c>
      <c r="J100" s="27">
        <f t="shared" si="17"/>
        <v>-0.12</v>
      </c>
      <c r="K100" s="27">
        <f t="shared" si="18"/>
        <v>-0.15</v>
      </c>
      <c r="L100" s="27">
        <f t="shared" si="19"/>
        <v>-1.5</v>
      </c>
      <c r="M100" s="28"/>
    </row>
    <row r="101" spans="1:13" ht="15" customHeight="1" x14ac:dyDescent="0.3">
      <c r="A101" s="5">
        <v>998</v>
      </c>
      <c r="B101" s="5">
        <v>-2</v>
      </c>
      <c r="C101" s="27">
        <f t="shared" si="10"/>
        <v>-1E-3</v>
      </c>
      <c r="D101" s="27">
        <f t="shared" si="11"/>
        <v>-2E-3</v>
      </c>
      <c r="E101" s="27">
        <f t="shared" si="12"/>
        <v>-4.0000000000000001E-3</v>
      </c>
      <c r="F101" s="27">
        <f t="shared" si="13"/>
        <v>-8.0000000000000002E-3</v>
      </c>
      <c r="G101" s="27">
        <f t="shared" si="14"/>
        <v>-0.01</v>
      </c>
      <c r="H101" s="27">
        <f t="shared" si="15"/>
        <v>-0.02</v>
      </c>
      <c r="I101" s="27">
        <f t="shared" si="16"/>
        <v>-0.04</v>
      </c>
      <c r="J101" s="27">
        <f t="shared" si="17"/>
        <v>-0.08</v>
      </c>
      <c r="K101" s="27">
        <f t="shared" si="18"/>
        <v>-0.1</v>
      </c>
      <c r="L101" s="27">
        <f t="shared" si="19"/>
        <v>-1</v>
      </c>
      <c r="M101" s="28"/>
    </row>
    <row r="102" spans="1:13" ht="15" customHeight="1" x14ac:dyDescent="0.3">
      <c r="A102" s="5">
        <v>999</v>
      </c>
      <c r="B102" s="5">
        <v>-1</v>
      </c>
      <c r="C102" s="27">
        <f t="shared" si="10"/>
        <v>-5.0000000000000001E-4</v>
      </c>
      <c r="D102" s="27">
        <f t="shared" si="11"/>
        <v>-1E-3</v>
      </c>
      <c r="E102" s="27">
        <f t="shared" si="12"/>
        <v>-2E-3</v>
      </c>
      <c r="F102" s="27">
        <f t="shared" si="13"/>
        <v>-4.0000000000000001E-3</v>
      </c>
      <c r="G102" s="27">
        <f t="shared" si="14"/>
        <v>-5.0000000000000001E-3</v>
      </c>
      <c r="H102" s="27">
        <f t="shared" si="15"/>
        <v>-0.01</v>
      </c>
      <c r="I102" s="27">
        <f t="shared" si="16"/>
        <v>-0.02</v>
      </c>
      <c r="J102" s="27">
        <f t="shared" si="17"/>
        <v>-0.04</v>
      </c>
      <c r="K102" s="27">
        <f t="shared" si="18"/>
        <v>-0.05</v>
      </c>
      <c r="L102" s="27">
        <f t="shared" si="19"/>
        <v>-0.5</v>
      </c>
      <c r="M102" s="28"/>
    </row>
    <row r="103" spans="1:13" ht="15" customHeight="1" x14ac:dyDescent="0.3">
      <c r="A103" s="9">
        <v>1000</v>
      </c>
      <c r="B103" s="9">
        <v>0</v>
      </c>
      <c r="C103" s="15">
        <f t="shared" si="10"/>
        <v>0</v>
      </c>
      <c r="D103" s="15">
        <f t="shared" si="11"/>
        <v>0</v>
      </c>
      <c r="E103" s="15">
        <f t="shared" si="12"/>
        <v>0</v>
      </c>
      <c r="F103" s="15">
        <f t="shared" si="13"/>
        <v>0</v>
      </c>
      <c r="G103" s="15">
        <f t="shared" si="14"/>
        <v>0</v>
      </c>
      <c r="H103" s="15">
        <f t="shared" si="15"/>
        <v>0</v>
      </c>
      <c r="I103" s="15">
        <f t="shared" si="16"/>
        <v>0</v>
      </c>
      <c r="J103" s="15">
        <f t="shared" si="17"/>
        <v>0</v>
      </c>
      <c r="K103" s="15">
        <f t="shared" si="18"/>
        <v>0</v>
      </c>
      <c r="L103" s="15">
        <f t="shared" si="19"/>
        <v>0</v>
      </c>
      <c r="M103" s="28"/>
    </row>
    <row r="104" spans="1:13" ht="15" customHeight="1" x14ac:dyDescent="0.3">
      <c r="A104" s="5">
        <v>1001</v>
      </c>
      <c r="B104" s="5">
        <v>1</v>
      </c>
      <c r="C104" s="27">
        <f t="shared" si="10"/>
        <v>5.0000000000000001E-4</v>
      </c>
      <c r="D104" s="27">
        <f t="shared" si="11"/>
        <v>1E-3</v>
      </c>
      <c r="E104" s="27">
        <f t="shared" si="12"/>
        <v>2E-3</v>
      </c>
      <c r="F104" s="27">
        <f t="shared" si="13"/>
        <v>4.0000000000000001E-3</v>
      </c>
      <c r="G104" s="27">
        <f t="shared" si="14"/>
        <v>5.0000000000000001E-3</v>
      </c>
      <c r="H104" s="27">
        <f t="shared" si="15"/>
        <v>0.01</v>
      </c>
      <c r="I104" s="27">
        <f t="shared" si="16"/>
        <v>0.02</v>
      </c>
      <c r="J104" s="27">
        <f t="shared" si="17"/>
        <v>0.04</v>
      </c>
      <c r="K104" s="27">
        <f t="shared" si="18"/>
        <v>0.05</v>
      </c>
      <c r="L104" s="27">
        <f t="shared" si="19"/>
        <v>0.5</v>
      </c>
      <c r="M104" s="28"/>
    </row>
    <row r="105" spans="1:13" ht="15" customHeight="1" x14ac:dyDescent="0.3">
      <c r="A105" s="5">
        <v>1002</v>
      </c>
      <c r="B105" s="5">
        <v>2</v>
      </c>
      <c r="C105" s="27">
        <f t="shared" si="10"/>
        <v>1E-3</v>
      </c>
      <c r="D105" s="27">
        <f t="shared" si="11"/>
        <v>2E-3</v>
      </c>
      <c r="E105" s="27">
        <f t="shared" si="12"/>
        <v>4.0000000000000001E-3</v>
      </c>
      <c r="F105" s="27">
        <f t="shared" si="13"/>
        <v>8.0000000000000002E-3</v>
      </c>
      <c r="G105" s="27">
        <f t="shared" si="14"/>
        <v>0.01</v>
      </c>
      <c r="H105" s="27">
        <f t="shared" si="15"/>
        <v>0.02</v>
      </c>
      <c r="I105" s="27">
        <f t="shared" si="16"/>
        <v>0.04</v>
      </c>
      <c r="J105" s="27">
        <f t="shared" si="17"/>
        <v>0.08</v>
      </c>
      <c r="K105" s="27">
        <f t="shared" si="18"/>
        <v>0.1</v>
      </c>
      <c r="L105" s="27">
        <f t="shared" si="19"/>
        <v>1</v>
      </c>
      <c r="M105" s="28"/>
    </row>
    <row r="106" spans="1:13" ht="15" customHeight="1" x14ac:dyDescent="0.3">
      <c r="A106" s="5">
        <v>1003</v>
      </c>
      <c r="B106" s="5">
        <v>3</v>
      </c>
      <c r="C106" s="27">
        <f t="shared" si="10"/>
        <v>1.5E-3</v>
      </c>
      <c r="D106" s="27">
        <f t="shared" si="11"/>
        <v>3.0000000000000001E-3</v>
      </c>
      <c r="E106" s="27">
        <f t="shared" si="12"/>
        <v>6.0000000000000001E-3</v>
      </c>
      <c r="F106" s="27">
        <f t="shared" si="13"/>
        <v>1.2E-2</v>
      </c>
      <c r="G106" s="27">
        <f t="shared" si="14"/>
        <v>1.4999999999999999E-2</v>
      </c>
      <c r="H106" s="27">
        <f t="shared" si="15"/>
        <v>0.03</v>
      </c>
      <c r="I106" s="27">
        <f t="shared" si="16"/>
        <v>0.06</v>
      </c>
      <c r="J106" s="27">
        <f t="shared" si="17"/>
        <v>0.12</v>
      </c>
      <c r="K106" s="27">
        <f t="shared" si="18"/>
        <v>0.15</v>
      </c>
      <c r="L106" s="27">
        <f t="shared" si="19"/>
        <v>1.5</v>
      </c>
      <c r="M106" s="28"/>
    </row>
    <row r="107" spans="1:13" ht="15" customHeight="1" x14ac:dyDescent="0.3">
      <c r="A107" s="5">
        <v>1004</v>
      </c>
      <c r="B107" s="5">
        <v>4</v>
      </c>
      <c r="C107" s="27">
        <f t="shared" si="10"/>
        <v>2E-3</v>
      </c>
      <c r="D107" s="27">
        <f t="shared" si="11"/>
        <v>4.0000000000000001E-3</v>
      </c>
      <c r="E107" s="27">
        <f t="shared" si="12"/>
        <v>8.0000000000000002E-3</v>
      </c>
      <c r="F107" s="27">
        <f t="shared" si="13"/>
        <v>1.6E-2</v>
      </c>
      <c r="G107" s="27">
        <f t="shared" si="14"/>
        <v>0.02</v>
      </c>
      <c r="H107" s="27">
        <f t="shared" si="15"/>
        <v>0.04</v>
      </c>
      <c r="I107" s="27">
        <f t="shared" si="16"/>
        <v>0.08</v>
      </c>
      <c r="J107" s="27">
        <f t="shared" si="17"/>
        <v>0.16</v>
      </c>
      <c r="K107" s="27">
        <f t="shared" si="18"/>
        <v>0.2</v>
      </c>
      <c r="L107" s="27">
        <f t="shared" si="19"/>
        <v>2</v>
      </c>
      <c r="M107" s="28"/>
    </row>
    <row r="108" spans="1:13" ht="15" customHeight="1" x14ac:dyDescent="0.3">
      <c r="A108" s="5">
        <v>1005</v>
      </c>
      <c r="B108" s="5">
        <v>5</v>
      </c>
      <c r="C108" s="27">
        <f t="shared" si="10"/>
        <v>2.5000000000000001E-3</v>
      </c>
      <c r="D108" s="27">
        <f t="shared" si="11"/>
        <v>5.0000000000000001E-3</v>
      </c>
      <c r="E108" s="27">
        <f t="shared" si="12"/>
        <v>0.01</v>
      </c>
      <c r="F108" s="27">
        <f t="shared" si="13"/>
        <v>0.02</v>
      </c>
      <c r="G108" s="27">
        <f t="shared" si="14"/>
        <v>2.5000000000000001E-2</v>
      </c>
      <c r="H108" s="27">
        <f t="shared" si="15"/>
        <v>0.05</v>
      </c>
      <c r="I108" s="27">
        <f t="shared" si="16"/>
        <v>0.1</v>
      </c>
      <c r="J108" s="27">
        <f t="shared" si="17"/>
        <v>0.2</v>
      </c>
      <c r="K108" s="27">
        <f t="shared" si="18"/>
        <v>0.25</v>
      </c>
      <c r="L108" s="27">
        <f t="shared" si="19"/>
        <v>2.5</v>
      </c>
      <c r="M108" s="28"/>
    </row>
    <row r="109" spans="1:13" ht="15" customHeight="1" x14ac:dyDescent="0.3">
      <c r="A109" s="5">
        <v>1006</v>
      </c>
      <c r="B109" s="5">
        <v>6</v>
      </c>
      <c r="C109" s="27">
        <f t="shared" si="10"/>
        <v>3.0000000000000001E-3</v>
      </c>
      <c r="D109" s="27">
        <f t="shared" si="11"/>
        <v>6.0000000000000001E-3</v>
      </c>
      <c r="E109" s="27">
        <f t="shared" si="12"/>
        <v>1.2E-2</v>
      </c>
      <c r="F109" s="27">
        <f t="shared" si="13"/>
        <v>2.4E-2</v>
      </c>
      <c r="G109" s="27">
        <f t="shared" si="14"/>
        <v>0.03</v>
      </c>
      <c r="H109" s="27">
        <f t="shared" si="15"/>
        <v>0.06</v>
      </c>
      <c r="I109" s="27">
        <f t="shared" si="16"/>
        <v>0.12</v>
      </c>
      <c r="J109" s="27">
        <f t="shared" si="17"/>
        <v>0.24</v>
      </c>
      <c r="K109" s="27">
        <f t="shared" si="18"/>
        <v>0.3</v>
      </c>
      <c r="L109" s="27">
        <f t="shared" si="19"/>
        <v>3</v>
      </c>
      <c r="M109" s="28"/>
    </row>
    <row r="110" spans="1:13" ht="15" customHeight="1" x14ac:dyDescent="0.3">
      <c r="A110" s="5">
        <v>1007</v>
      </c>
      <c r="B110" s="5">
        <v>7</v>
      </c>
      <c r="C110" s="27">
        <f t="shared" si="10"/>
        <v>3.5000000000000001E-3</v>
      </c>
      <c r="D110" s="27">
        <f t="shared" si="11"/>
        <v>7.0000000000000001E-3</v>
      </c>
      <c r="E110" s="27">
        <f t="shared" si="12"/>
        <v>1.4E-2</v>
      </c>
      <c r="F110" s="27">
        <f t="shared" si="13"/>
        <v>2.8000000000000001E-2</v>
      </c>
      <c r="G110" s="27">
        <f t="shared" si="14"/>
        <v>3.5000000000000003E-2</v>
      </c>
      <c r="H110" s="27">
        <f t="shared" si="15"/>
        <v>7.0000000000000007E-2</v>
      </c>
      <c r="I110" s="27">
        <f t="shared" si="16"/>
        <v>0.14000000000000001</v>
      </c>
      <c r="J110" s="27">
        <f t="shared" si="17"/>
        <v>0.28000000000000003</v>
      </c>
      <c r="K110" s="27">
        <f t="shared" si="18"/>
        <v>0.35000000000000003</v>
      </c>
      <c r="L110" s="27">
        <f t="shared" si="19"/>
        <v>3.5</v>
      </c>
      <c r="M110" s="28"/>
    </row>
    <row r="111" spans="1:13" ht="15" customHeight="1" x14ac:dyDescent="0.3">
      <c r="A111" s="5">
        <v>1008</v>
      </c>
      <c r="B111" s="5">
        <v>8</v>
      </c>
      <c r="C111" s="27">
        <f t="shared" si="10"/>
        <v>4.0000000000000001E-3</v>
      </c>
      <c r="D111" s="27">
        <f t="shared" si="11"/>
        <v>8.0000000000000002E-3</v>
      </c>
      <c r="E111" s="27">
        <f t="shared" si="12"/>
        <v>1.6E-2</v>
      </c>
      <c r="F111" s="27">
        <f t="shared" si="13"/>
        <v>3.2000000000000001E-2</v>
      </c>
      <c r="G111" s="27">
        <f t="shared" si="14"/>
        <v>0.04</v>
      </c>
      <c r="H111" s="27">
        <f t="shared" si="15"/>
        <v>0.08</v>
      </c>
      <c r="I111" s="27">
        <f t="shared" si="16"/>
        <v>0.16</v>
      </c>
      <c r="J111" s="27">
        <f t="shared" si="17"/>
        <v>0.32</v>
      </c>
      <c r="K111" s="27">
        <f t="shared" si="18"/>
        <v>0.4</v>
      </c>
      <c r="L111" s="27">
        <f t="shared" si="19"/>
        <v>4</v>
      </c>
      <c r="M111" s="28"/>
    </row>
    <row r="112" spans="1:13" ht="15" customHeight="1" x14ac:dyDescent="0.3">
      <c r="A112" s="5">
        <v>1009</v>
      </c>
      <c r="B112" s="5">
        <v>9</v>
      </c>
      <c r="C112" s="27">
        <f t="shared" si="10"/>
        <v>4.4999999999999997E-3</v>
      </c>
      <c r="D112" s="27">
        <f t="shared" si="11"/>
        <v>8.9999999999999993E-3</v>
      </c>
      <c r="E112" s="27">
        <f t="shared" si="12"/>
        <v>1.7999999999999999E-2</v>
      </c>
      <c r="F112" s="27">
        <f t="shared" si="13"/>
        <v>3.5999999999999997E-2</v>
      </c>
      <c r="G112" s="27">
        <f t="shared" si="14"/>
        <v>4.4999999999999998E-2</v>
      </c>
      <c r="H112" s="27">
        <f t="shared" si="15"/>
        <v>0.09</v>
      </c>
      <c r="I112" s="27">
        <f t="shared" si="16"/>
        <v>0.18</v>
      </c>
      <c r="J112" s="27">
        <f t="shared" si="17"/>
        <v>0.36</v>
      </c>
      <c r="K112" s="27">
        <f t="shared" si="18"/>
        <v>0.44999999999999996</v>
      </c>
      <c r="L112" s="27">
        <f t="shared" si="19"/>
        <v>4.5</v>
      </c>
      <c r="M112" s="28"/>
    </row>
    <row r="113" spans="1:13" ht="15" customHeight="1" x14ac:dyDescent="0.3">
      <c r="A113" s="9">
        <v>1010</v>
      </c>
      <c r="B113" s="5">
        <v>10</v>
      </c>
      <c r="C113" s="15">
        <f t="shared" si="10"/>
        <v>5.0000000000000001E-3</v>
      </c>
      <c r="D113" s="15">
        <f t="shared" si="11"/>
        <v>0.01</v>
      </c>
      <c r="E113" s="15">
        <f t="shared" si="12"/>
        <v>0.02</v>
      </c>
      <c r="F113" s="15">
        <f t="shared" si="13"/>
        <v>0.04</v>
      </c>
      <c r="G113" s="15">
        <f t="shared" si="14"/>
        <v>0.05</v>
      </c>
      <c r="H113" s="15">
        <f t="shared" si="15"/>
        <v>0.1</v>
      </c>
      <c r="I113" s="15">
        <f t="shared" si="16"/>
        <v>0.2</v>
      </c>
      <c r="J113" s="15">
        <f t="shared" si="17"/>
        <v>0.4</v>
      </c>
      <c r="K113" s="15">
        <f t="shared" si="18"/>
        <v>0.5</v>
      </c>
      <c r="L113" s="15">
        <f t="shared" si="19"/>
        <v>5</v>
      </c>
      <c r="M113" s="28"/>
    </row>
    <row r="114" spans="1:13" ht="15" customHeight="1" x14ac:dyDescent="0.3">
      <c r="A114" s="5">
        <v>1011</v>
      </c>
      <c r="B114" s="5">
        <v>11</v>
      </c>
      <c r="C114" s="27">
        <f t="shared" si="10"/>
        <v>5.4999999999999997E-3</v>
      </c>
      <c r="D114" s="27">
        <f t="shared" si="11"/>
        <v>1.0999999999999999E-2</v>
      </c>
      <c r="E114" s="27">
        <f t="shared" si="12"/>
        <v>2.1999999999999999E-2</v>
      </c>
      <c r="F114" s="27">
        <f t="shared" si="13"/>
        <v>4.3999999999999997E-2</v>
      </c>
      <c r="G114" s="27">
        <f t="shared" si="14"/>
        <v>5.4999999999999993E-2</v>
      </c>
      <c r="H114" s="27">
        <f t="shared" si="15"/>
        <v>0.10999999999999999</v>
      </c>
      <c r="I114" s="27">
        <f t="shared" si="16"/>
        <v>0.21999999999999997</v>
      </c>
      <c r="J114" s="27">
        <f t="shared" si="17"/>
        <v>0.43999999999999995</v>
      </c>
      <c r="K114" s="27">
        <f t="shared" si="18"/>
        <v>0.54999999999999993</v>
      </c>
      <c r="L114" s="27">
        <f t="shared" si="19"/>
        <v>5.5</v>
      </c>
      <c r="M114" s="28"/>
    </row>
    <row r="115" spans="1:13" ht="15" customHeight="1" x14ac:dyDescent="0.3">
      <c r="A115" s="5">
        <v>1012</v>
      </c>
      <c r="B115" s="5">
        <v>12</v>
      </c>
      <c r="C115" s="27">
        <f t="shared" si="10"/>
        <v>6.0000000000000001E-3</v>
      </c>
      <c r="D115" s="27">
        <f t="shared" si="11"/>
        <v>1.2E-2</v>
      </c>
      <c r="E115" s="27">
        <f t="shared" si="12"/>
        <v>2.4E-2</v>
      </c>
      <c r="F115" s="27">
        <f t="shared" si="13"/>
        <v>4.8000000000000001E-2</v>
      </c>
      <c r="G115" s="27">
        <f t="shared" si="14"/>
        <v>0.06</v>
      </c>
      <c r="H115" s="27">
        <f t="shared" si="15"/>
        <v>0.12</v>
      </c>
      <c r="I115" s="27">
        <f t="shared" si="16"/>
        <v>0.24</v>
      </c>
      <c r="J115" s="27">
        <f t="shared" si="17"/>
        <v>0.48</v>
      </c>
      <c r="K115" s="27">
        <f t="shared" si="18"/>
        <v>0.6</v>
      </c>
      <c r="L115" s="27">
        <f t="shared" si="19"/>
        <v>6</v>
      </c>
      <c r="M115" s="28"/>
    </row>
    <row r="116" spans="1:13" ht="15" customHeight="1" x14ac:dyDescent="0.3">
      <c r="A116" s="5">
        <v>1013</v>
      </c>
      <c r="B116" s="5">
        <v>13</v>
      </c>
      <c r="C116" s="27">
        <f t="shared" si="10"/>
        <v>6.4999999999999997E-3</v>
      </c>
      <c r="D116" s="27">
        <f t="shared" si="11"/>
        <v>1.2999999999999999E-2</v>
      </c>
      <c r="E116" s="27">
        <f t="shared" si="12"/>
        <v>2.5999999999999999E-2</v>
      </c>
      <c r="F116" s="27">
        <f t="shared" si="13"/>
        <v>5.1999999999999998E-2</v>
      </c>
      <c r="G116" s="27">
        <f t="shared" si="14"/>
        <v>6.5000000000000002E-2</v>
      </c>
      <c r="H116" s="27">
        <f t="shared" si="15"/>
        <v>0.13</v>
      </c>
      <c r="I116" s="27">
        <f t="shared" si="16"/>
        <v>0.26</v>
      </c>
      <c r="J116" s="27">
        <f t="shared" si="17"/>
        <v>0.52</v>
      </c>
      <c r="K116" s="27">
        <f t="shared" si="18"/>
        <v>0.65</v>
      </c>
      <c r="L116" s="27">
        <f t="shared" si="19"/>
        <v>6.5</v>
      </c>
      <c r="M116" s="28"/>
    </row>
    <row r="117" spans="1:13" ht="15" customHeight="1" x14ac:dyDescent="0.3">
      <c r="A117" s="5">
        <v>1014</v>
      </c>
      <c r="B117" s="5">
        <v>14</v>
      </c>
      <c r="C117" s="27">
        <f t="shared" si="10"/>
        <v>7.0000000000000001E-3</v>
      </c>
      <c r="D117" s="27">
        <f t="shared" si="11"/>
        <v>1.4E-2</v>
      </c>
      <c r="E117" s="27">
        <f t="shared" si="12"/>
        <v>2.8000000000000001E-2</v>
      </c>
      <c r="F117" s="27">
        <f t="shared" si="13"/>
        <v>5.6000000000000001E-2</v>
      </c>
      <c r="G117" s="27">
        <f t="shared" si="14"/>
        <v>7.0000000000000007E-2</v>
      </c>
      <c r="H117" s="27">
        <f t="shared" si="15"/>
        <v>0.14000000000000001</v>
      </c>
      <c r="I117" s="27">
        <f t="shared" si="16"/>
        <v>0.28000000000000003</v>
      </c>
      <c r="J117" s="27">
        <f t="shared" si="17"/>
        <v>0.56000000000000005</v>
      </c>
      <c r="K117" s="27">
        <f t="shared" si="18"/>
        <v>0.70000000000000007</v>
      </c>
      <c r="L117" s="27">
        <f t="shared" si="19"/>
        <v>7</v>
      </c>
      <c r="M117" s="28"/>
    </row>
    <row r="118" spans="1:13" ht="15" customHeight="1" x14ac:dyDescent="0.3">
      <c r="A118" s="5">
        <v>1015</v>
      </c>
      <c r="B118" s="5">
        <v>15</v>
      </c>
      <c r="C118" s="27">
        <f t="shared" si="10"/>
        <v>7.4999999999999997E-3</v>
      </c>
      <c r="D118" s="27">
        <f t="shared" si="11"/>
        <v>1.4999999999999999E-2</v>
      </c>
      <c r="E118" s="27">
        <f t="shared" si="12"/>
        <v>0.03</v>
      </c>
      <c r="F118" s="27">
        <f t="shared" si="13"/>
        <v>0.06</v>
      </c>
      <c r="G118" s="27">
        <f t="shared" si="14"/>
        <v>7.4999999999999997E-2</v>
      </c>
      <c r="H118" s="27">
        <f t="shared" si="15"/>
        <v>0.15</v>
      </c>
      <c r="I118" s="27">
        <f t="shared" si="16"/>
        <v>0.3</v>
      </c>
      <c r="J118" s="27">
        <f t="shared" si="17"/>
        <v>0.6</v>
      </c>
      <c r="K118" s="27">
        <f t="shared" si="18"/>
        <v>0.75</v>
      </c>
      <c r="L118" s="27">
        <f t="shared" si="19"/>
        <v>7.5</v>
      </c>
      <c r="M118" s="28"/>
    </row>
    <row r="119" spans="1:13" ht="15" customHeight="1" x14ac:dyDescent="0.3">
      <c r="A119" s="5">
        <v>1016</v>
      </c>
      <c r="B119" s="5">
        <v>16</v>
      </c>
      <c r="C119" s="27">
        <f t="shared" si="10"/>
        <v>8.0000000000000002E-3</v>
      </c>
      <c r="D119" s="27">
        <f t="shared" si="11"/>
        <v>1.6E-2</v>
      </c>
      <c r="E119" s="27">
        <f t="shared" si="12"/>
        <v>3.2000000000000001E-2</v>
      </c>
      <c r="F119" s="27">
        <f t="shared" si="13"/>
        <v>6.4000000000000001E-2</v>
      </c>
      <c r="G119" s="27">
        <f t="shared" si="14"/>
        <v>0.08</v>
      </c>
      <c r="H119" s="27">
        <f t="shared" si="15"/>
        <v>0.16</v>
      </c>
      <c r="I119" s="27">
        <f t="shared" si="16"/>
        <v>0.32</v>
      </c>
      <c r="J119" s="27">
        <f t="shared" si="17"/>
        <v>0.64</v>
      </c>
      <c r="K119" s="27">
        <f t="shared" si="18"/>
        <v>0.8</v>
      </c>
      <c r="L119" s="27">
        <f t="shared" si="19"/>
        <v>8</v>
      </c>
      <c r="M119" s="28"/>
    </row>
    <row r="120" spans="1:13" ht="15" customHeight="1" x14ac:dyDescent="0.3">
      <c r="A120" s="5">
        <v>1017</v>
      </c>
      <c r="B120" s="5">
        <v>17</v>
      </c>
      <c r="C120" s="27">
        <f t="shared" si="10"/>
        <v>8.5000000000000006E-3</v>
      </c>
      <c r="D120" s="27">
        <f t="shared" si="11"/>
        <v>1.7000000000000001E-2</v>
      </c>
      <c r="E120" s="27">
        <f t="shared" si="12"/>
        <v>3.4000000000000002E-2</v>
      </c>
      <c r="F120" s="27">
        <f t="shared" si="13"/>
        <v>6.8000000000000005E-2</v>
      </c>
      <c r="G120" s="27">
        <f t="shared" si="14"/>
        <v>8.5000000000000006E-2</v>
      </c>
      <c r="H120" s="27">
        <f t="shared" si="15"/>
        <v>0.17</v>
      </c>
      <c r="I120" s="27">
        <f t="shared" si="16"/>
        <v>0.34</v>
      </c>
      <c r="J120" s="27">
        <f t="shared" si="17"/>
        <v>0.68</v>
      </c>
      <c r="K120" s="27">
        <f t="shared" si="18"/>
        <v>0.85000000000000009</v>
      </c>
      <c r="L120" s="27">
        <f t="shared" si="19"/>
        <v>8.5</v>
      </c>
      <c r="M120" s="28"/>
    </row>
    <row r="121" spans="1:13" ht="15" customHeight="1" x14ac:dyDescent="0.3">
      <c r="A121" s="5">
        <v>1018</v>
      </c>
      <c r="B121" s="5">
        <v>18</v>
      </c>
      <c r="C121" s="27">
        <f t="shared" si="10"/>
        <v>8.9999999999999993E-3</v>
      </c>
      <c r="D121" s="27">
        <f t="shared" si="11"/>
        <v>1.7999999999999999E-2</v>
      </c>
      <c r="E121" s="27">
        <f t="shared" si="12"/>
        <v>3.5999999999999997E-2</v>
      </c>
      <c r="F121" s="27">
        <f t="shared" si="13"/>
        <v>7.1999999999999995E-2</v>
      </c>
      <c r="G121" s="27">
        <f t="shared" si="14"/>
        <v>0.09</v>
      </c>
      <c r="H121" s="27">
        <f t="shared" si="15"/>
        <v>0.18</v>
      </c>
      <c r="I121" s="27">
        <f t="shared" si="16"/>
        <v>0.36</v>
      </c>
      <c r="J121" s="27">
        <f t="shared" si="17"/>
        <v>0.72</v>
      </c>
      <c r="K121" s="27">
        <f t="shared" si="18"/>
        <v>0.89999999999999991</v>
      </c>
      <c r="L121" s="27">
        <f t="shared" si="19"/>
        <v>9</v>
      </c>
      <c r="M121" s="28"/>
    </row>
    <row r="122" spans="1:13" ht="15" customHeight="1" x14ac:dyDescent="0.3">
      <c r="A122" s="5">
        <v>1019</v>
      </c>
      <c r="B122" s="5">
        <v>19</v>
      </c>
      <c r="C122" s="27">
        <f t="shared" si="10"/>
        <v>9.4999999999999998E-3</v>
      </c>
      <c r="D122" s="27">
        <f t="shared" si="11"/>
        <v>1.9E-2</v>
      </c>
      <c r="E122" s="27">
        <f t="shared" si="12"/>
        <v>3.7999999999999999E-2</v>
      </c>
      <c r="F122" s="27">
        <f t="shared" si="13"/>
        <v>7.5999999999999998E-2</v>
      </c>
      <c r="G122" s="27">
        <f t="shared" si="14"/>
        <v>9.5000000000000001E-2</v>
      </c>
      <c r="H122" s="27">
        <f t="shared" si="15"/>
        <v>0.19</v>
      </c>
      <c r="I122" s="27">
        <f t="shared" si="16"/>
        <v>0.38</v>
      </c>
      <c r="J122" s="27">
        <f t="shared" si="17"/>
        <v>0.76</v>
      </c>
      <c r="K122" s="27">
        <f t="shared" si="18"/>
        <v>0.95</v>
      </c>
      <c r="L122" s="27">
        <f t="shared" si="19"/>
        <v>9.5</v>
      </c>
      <c r="M122" s="28"/>
    </row>
    <row r="123" spans="1:13" ht="15" customHeight="1" x14ac:dyDescent="0.3">
      <c r="A123" s="9">
        <v>1020</v>
      </c>
      <c r="B123" s="5">
        <v>20</v>
      </c>
      <c r="C123" s="15">
        <f t="shared" si="10"/>
        <v>0.01</v>
      </c>
      <c r="D123" s="15">
        <f t="shared" si="11"/>
        <v>0.02</v>
      </c>
      <c r="E123" s="15">
        <f t="shared" si="12"/>
        <v>0.04</v>
      </c>
      <c r="F123" s="15">
        <f t="shared" si="13"/>
        <v>0.08</v>
      </c>
      <c r="G123" s="15">
        <f t="shared" si="14"/>
        <v>0.1</v>
      </c>
      <c r="H123" s="15">
        <f t="shared" si="15"/>
        <v>0.2</v>
      </c>
      <c r="I123" s="15">
        <f t="shared" si="16"/>
        <v>0.4</v>
      </c>
      <c r="J123" s="15">
        <f t="shared" si="17"/>
        <v>0.8</v>
      </c>
      <c r="K123" s="15">
        <f t="shared" si="18"/>
        <v>1</v>
      </c>
      <c r="L123" s="15">
        <f t="shared" si="19"/>
        <v>10</v>
      </c>
      <c r="M123" s="28"/>
    </row>
    <row r="124" spans="1:13" ht="15" customHeight="1" x14ac:dyDescent="0.3">
      <c r="A124" s="5">
        <v>1021</v>
      </c>
      <c r="B124" s="5">
        <v>21</v>
      </c>
      <c r="C124" s="27">
        <f t="shared" si="10"/>
        <v>1.0500000000000001E-2</v>
      </c>
      <c r="D124" s="27">
        <f t="shared" si="11"/>
        <v>2.1000000000000001E-2</v>
      </c>
      <c r="E124" s="27">
        <f t="shared" si="12"/>
        <v>4.2000000000000003E-2</v>
      </c>
      <c r="F124" s="27">
        <f t="shared" si="13"/>
        <v>8.4000000000000005E-2</v>
      </c>
      <c r="G124" s="27">
        <f t="shared" si="14"/>
        <v>0.10500000000000001</v>
      </c>
      <c r="H124" s="27">
        <f t="shared" si="15"/>
        <v>0.21000000000000002</v>
      </c>
      <c r="I124" s="27">
        <f t="shared" si="16"/>
        <v>0.42000000000000004</v>
      </c>
      <c r="J124" s="27">
        <f t="shared" si="17"/>
        <v>0.84000000000000008</v>
      </c>
      <c r="K124" s="27">
        <f t="shared" si="18"/>
        <v>1.05</v>
      </c>
      <c r="L124" s="27">
        <f t="shared" si="19"/>
        <v>10.5</v>
      </c>
      <c r="M124" s="28"/>
    </row>
    <row r="125" spans="1:13" ht="15" customHeight="1" x14ac:dyDescent="0.3">
      <c r="A125" s="5">
        <v>1022</v>
      </c>
      <c r="B125" s="5">
        <v>22</v>
      </c>
      <c r="C125" s="27">
        <f t="shared" si="10"/>
        <v>1.0999999999999999E-2</v>
      </c>
      <c r="D125" s="27">
        <f t="shared" si="11"/>
        <v>2.1999999999999999E-2</v>
      </c>
      <c r="E125" s="27">
        <f t="shared" si="12"/>
        <v>4.3999999999999997E-2</v>
      </c>
      <c r="F125" s="27">
        <f t="shared" si="13"/>
        <v>8.7999999999999995E-2</v>
      </c>
      <c r="G125" s="27">
        <f t="shared" si="14"/>
        <v>0.10999999999999999</v>
      </c>
      <c r="H125" s="27">
        <f t="shared" si="15"/>
        <v>0.21999999999999997</v>
      </c>
      <c r="I125" s="27">
        <f t="shared" si="16"/>
        <v>0.43999999999999995</v>
      </c>
      <c r="J125" s="27">
        <f t="shared" si="17"/>
        <v>0.87999999999999989</v>
      </c>
      <c r="K125" s="27">
        <f t="shared" si="18"/>
        <v>1.0999999999999999</v>
      </c>
      <c r="L125" s="27">
        <f t="shared" si="19"/>
        <v>11</v>
      </c>
      <c r="M125" s="28"/>
    </row>
    <row r="126" spans="1:13" ht="15" customHeight="1" x14ac:dyDescent="0.3">
      <c r="A126" s="5">
        <v>1023</v>
      </c>
      <c r="B126" s="5">
        <v>23</v>
      </c>
      <c r="C126" s="27">
        <f t="shared" si="10"/>
        <v>1.15E-2</v>
      </c>
      <c r="D126" s="27">
        <f t="shared" si="11"/>
        <v>2.3E-2</v>
      </c>
      <c r="E126" s="27">
        <f t="shared" si="12"/>
        <v>4.5999999999999999E-2</v>
      </c>
      <c r="F126" s="27">
        <f t="shared" si="13"/>
        <v>9.1999999999999998E-2</v>
      </c>
      <c r="G126" s="27">
        <f t="shared" si="14"/>
        <v>0.11499999999999999</v>
      </c>
      <c r="H126" s="27">
        <f t="shared" si="15"/>
        <v>0.22999999999999998</v>
      </c>
      <c r="I126" s="27">
        <f t="shared" si="16"/>
        <v>0.45999999999999996</v>
      </c>
      <c r="J126" s="27">
        <f t="shared" si="17"/>
        <v>0.91999999999999993</v>
      </c>
      <c r="K126" s="27">
        <f t="shared" si="18"/>
        <v>1.1499999999999999</v>
      </c>
      <c r="L126" s="27">
        <f t="shared" si="19"/>
        <v>11.5</v>
      </c>
      <c r="M126" s="28"/>
    </row>
    <row r="127" spans="1:13" ht="15" customHeight="1" x14ac:dyDescent="0.3">
      <c r="A127" s="5">
        <v>1024</v>
      </c>
      <c r="B127" s="5">
        <v>24</v>
      </c>
      <c r="C127" s="27">
        <f t="shared" si="10"/>
        <v>1.2E-2</v>
      </c>
      <c r="D127" s="27">
        <f t="shared" si="11"/>
        <v>2.4E-2</v>
      </c>
      <c r="E127" s="27">
        <f t="shared" si="12"/>
        <v>4.8000000000000001E-2</v>
      </c>
      <c r="F127" s="27">
        <f t="shared" si="13"/>
        <v>9.6000000000000002E-2</v>
      </c>
      <c r="G127" s="27">
        <f t="shared" si="14"/>
        <v>0.12</v>
      </c>
      <c r="H127" s="27">
        <f t="shared" si="15"/>
        <v>0.24</v>
      </c>
      <c r="I127" s="27">
        <f t="shared" si="16"/>
        <v>0.48</v>
      </c>
      <c r="J127" s="27">
        <f t="shared" si="17"/>
        <v>0.96</v>
      </c>
      <c r="K127" s="27">
        <f t="shared" si="18"/>
        <v>1.2</v>
      </c>
      <c r="L127" s="27">
        <f t="shared" si="19"/>
        <v>12</v>
      </c>
      <c r="M127" s="28"/>
    </row>
    <row r="128" spans="1:13" ht="15" customHeight="1" x14ac:dyDescent="0.3">
      <c r="A128" s="5">
        <v>1025</v>
      </c>
      <c r="B128" s="5">
        <v>25</v>
      </c>
      <c r="C128" s="27">
        <f t="shared" si="10"/>
        <v>1.2500000000000001E-2</v>
      </c>
      <c r="D128" s="27">
        <f t="shared" si="11"/>
        <v>2.5000000000000001E-2</v>
      </c>
      <c r="E128" s="27">
        <f t="shared" si="12"/>
        <v>0.05</v>
      </c>
      <c r="F128" s="27">
        <f t="shared" si="13"/>
        <v>0.1</v>
      </c>
      <c r="G128" s="27">
        <f t="shared" si="14"/>
        <v>0.125</v>
      </c>
      <c r="H128" s="27">
        <f t="shared" si="15"/>
        <v>0.25</v>
      </c>
      <c r="I128" s="27">
        <f t="shared" si="16"/>
        <v>0.5</v>
      </c>
      <c r="J128" s="27">
        <f t="shared" si="17"/>
        <v>1</v>
      </c>
      <c r="K128" s="27">
        <f t="shared" si="18"/>
        <v>1.25</v>
      </c>
      <c r="L128" s="27">
        <f t="shared" si="19"/>
        <v>12.5</v>
      </c>
      <c r="M128" s="28"/>
    </row>
    <row r="129" spans="1:13" ht="15" customHeight="1" x14ac:dyDescent="0.3">
      <c r="A129" s="5">
        <v>1026</v>
      </c>
      <c r="B129" s="5">
        <v>26</v>
      </c>
      <c r="C129" s="27">
        <f t="shared" si="10"/>
        <v>1.2999999999999999E-2</v>
      </c>
      <c r="D129" s="27">
        <f t="shared" si="11"/>
        <v>2.5999999999999999E-2</v>
      </c>
      <c r="E129" s="27">
        <f t="shared" si="12"/>
        <v>5.1999999999999998E-2</v>
      </c>
      <c r="F129" s="27">
        <f t="shared" si="13"/>
        <v>0.104</v>
      </c>
      <c r="G129" s="27">
        <f t="shared" si="14"/>
        <v>0.13</v>
      </c>
      <c r="H129" s="27">
        <f t="shared" si="15"/>
        <v>0.26</v>
      </c>
      <c r="I129" s="27">
        <f t="shared" si="16"/>
        <v>0.52</v>
      </c>
      <c r="J129" s="27">
        <f t="shared" si="17"/>
        <v>1.04</v>
      </c>
      <c r="K129" s="27">
        <f t="shared" si="18"/>
        <v>1.3</v>
      </c>
      <c r="L129" s="27">
        <f t="shared" si="19"/>
        <v>13</v>
      </c>
      <c r="M129" s="28"/>
    </row>
    <row r="130" spans="1:13" ht="15" customHeight="1" x14ac:dyDescent="0.3">
      <c r="A130" s="5">
        <v>1027</v>
      </c>
      <c r="B130" s="5">
        <v>27</v>
      </c>
      <c r="C130" s="27">
        <f t="shared" si="10"/>
        <v>1.35E-2</v>
      </c>
      <c r="D130" s="27">
        <f t="shared" si="11"/>
        <v>2.7E-2</v>
      </c>
      <c r="E130" s="27">
        <f t="shared" si="12"/>
        <v>5.3999999999999999E-2</v>
      </c>
      <c r="F130" s="27">
        <f t="shared" si="13"/>
        <v>0.108</v>
      </c>
      <c r="G130" s="27">
        <f t="shared" si="14"/>
        <v>0.13500000000000001</v>
      </c>
      <c r="H130" s="27">
        <f t="shared" si="15"/>
        <v>0.27</v>
      </c>
      <c r="I130" s="27">
        <f t="shared" si="16"/>
        <v>0.54</v>
      </c>
      <c r="J130" s="27">
        <f t="shared" si="17"/>
        <v>1.08</v>
      </c>
      <c r="K130" s="27">
        <f t="shared" si="18"/>
        <v>1.35</v>
      </c>
      <c r="L130" s="27">
        <f t="shared" si="19"/>
        <v>13.5</v>
      </c>
      <c r="M130" s="28"/>
    </row>
    <row r="131" spans="1:13" ht="15" customHeight="1" x14ac:dyDescent="0.3">
      <c r="A131" s="5">
        <v>1028</v>
      </c>
      <c r="B131" s="5">
        <v>28</v>
      </c>
      <c r="C131" s="27">
        <f t="shared" si="10"/>
        <v>1.4E-2</v>
      </c>
      <c r="D131" s="27">
        <f t="shared" si="11"/>
        <v>2.8000000000000001E-2</v>
      </c>
      <c r="E131" s="27">
        <f t="shared" si="12"/>
        <v>5.6000000000000001E-2</v>
      </c>
      <c r="F131" s="27">
        <f t="shared" si="13"/>
        <v>0.112</v>
      </c>
      <c r="G131" s="27">
        <f t="shared" si="14"/>
        <v>0.14000000000000001</v>
      </c>
      <c r="H131" s="27">
        <f t="shared" si="15"/>
        <v>0.28000000000000003</v>
      </c>
      <c r="I131" s="27">
        <f t="shared" si="16"/>
        <v>0.56000000000000005</v>
      </c>
      <c r="J131" s="27">
        <f t="shared" si="17"/>
        <v>1.1200000000000001</v>
      </c>
      <c r="K131" s="27">
        <f t="shared" si="18"/>
        <v>1.4000000000000001</v>
      </c>
      <c r="L131" s="27">
        <f t="shared" si="19"/>
        <v>14</v>
      </c>
      <c r="M131" s="28"/>
    </row>
    <row r="132" spans="1:13" ht="15" customHeight="1" x14ac:dyDescent="0.3">
      <c r="A132" s="5">
        <v>1029</v>
      </c>
      <c r="B132" s="5">
        <v>29</v>
      </c>
      <c r="C132" s="27">
        <f t="shared" ref="C132:C195" si="20">(1/2)*(B132/1000)*1</f>
        <v>1.4500000000000001E-2</v>
      </c>
      <c r="D132" s="27">
        <f t="shared" ref="D132:D195" si="21">C132*2</f>
        <v>2.9000000000000001E-2</v>
      </c>
      <c r="E132" s="27">
        <f t="shared" ref="E132:E195" si="22">C132*4</f>
        <v>5.8000000000000003E-2</v>
      </c>
      <c r="F132" s="27">
        <f t="shared" ref="F132:F195" si="23">C132*8</f>
        <v>0.11600000000000001</v>
      </c>
      <c r="G132" s="27">
        <f t="shared" ref="G132:G195" si="24">C132*10</f>
        <v>0.14500000000000002</v>
      </c>
      <c r="H132" s="27">
        <f t="shared" ref="H132:H195" si="25">C132*20</f>
        <v>0.29000000000000004</v>
      </c>
      <c r="I132" s="27">
        <f t="shared" ref="I132:I195" si="26">C132*40</f>
        <v>0.58000000000000007</v>
      </c>
      <c r="J132" s="27">
        <f t="shared" ref="J132:J195" si="27">C132*80</f>
        <v>1.1600000000000001</v>
      </c>
      <c r="K132" s="27">
        <f t="shared" ref="K132:K195" si="28">C132*100</f>
        <v>1.4500000000000002</v>
      </c>
      <c r="L132" s="27">
        <f t="shared" ref="L132:L195" si="29">C132*1000</f>
        <v>14.5</v>
      </c>
      <c r="M132" s="28"/>
    </row>
    <row r="133" spans="1:13" ht="15" customHeight="1" x14ac:dyDescent="0.3">
      <c r="A133" s="9">
        <v>1030</v>
      </c>
      <c r="B133" s="5">
        <v>30</v>
      </c>
      <c r="C133" s="15">
        <f t="shared" si="20"/>
        <v>1.4999999999999999E-2</v>
      </c>
      <c r="D133" s="15">
        <f t="shared" si="21"/>
        <v>0.03</v>
      </c>
      <c r="E133" s="15">
        <f t="shared" si="22"/>
        <v>0.06</v>
      </c>
      <c r="F133" s="15">
        <f t="shared" si="23"/>
        <v>0.12</v>
      </c>
      <c r="G133" s="15">
        <f t="shared" si="24"/>
        <v>0.15</v>
      </c>
      <c r="H133" s="15">
        <f t="shared" si="25"/>
        <v>0.3</v>
      </c>
      <c r="I133" s="15">
        <f t="shared" si="26"/>
        <v>0.6</v>
      </c>
      <c r="J133" s="15">
        <f t="shared" si="27"/>
        <v>1.2</v>
      </c>
      <c r="K133" s="15">
        <f t="shared" si="28"/>
        <v>1.5</v>
      </c>
      <c r="L133" s="15">
        <f t="shared" si="29"/>
        <v>15</v>
      </c>
      <c r="M133" s="28"/>
    </row>
    <row r="134" spans="1:13" ht="15" customHeight="1" x14ac:dyDescent="0.3">
      <c r="A134" s="5">
        <v>1031</v>
      </c>
      <c r="B134" s="5">
        <v>31</v>
      </c>
      <c r="C134" s="27">
        <f t="shared" si="20"/>
        <v>1.55E-2</v>
      </c>
      <c r="D134" s="27">
        <f t="shared" si="21"/>
        <v>3.1E-2</v>
      </c>
      <c r="E134" s="27">
        <f t="shared" si="22"/>
        <v>6.2E-2</v>
      </c>
      <c r="F134" s="27">
        <f t="shared" si="23"/>
        <v>0.124</v>
      </c>
      <c r="G134" s="27">
        <f t="shared" si="24"/>
        <v>0.155</v>
      </c>
      <c r="H134" s="27">
        <f t="shared" si="25"/>
        <v>0.31</v>
      </c>
      <c r="I134" s="27">
        <f t="shared" si="26"/>
        <v>0.62</v>
      </c>
      <c r="J134" s="27">
        <f t="shared" si="27"/>
        <v>1.24</v>
      </c>
      <c r="K134" s="27">
        <f t="shared" si="28"/>
        <v>1.55</v>
      </c>
      <c r="L134" s="27">
        <f t="shared" si="29"/>
        <v>15.5</v>
      </c>
      <c r="M134" s="28"/>
    </row>
    <row r="135" spans="1:13" ht="15" customHeight="1" x14ac:dyDescent="0.3">
      <c r="A135" s="5">
        <v>1032</v>
      </c>
      <c r="B135" s="5">
        <v>32</v>
      </c>
      <c r="C135" s="27">
        <f t="shared" si="20"/>
        <v>1.6E-2</v>
      </c>
      <c r="D135" s="27">
        <f t="shared" si="21"/>
        <v>3.2000000000000001E-2</v>
      </c>
      <c r="E135" s="27">
        <f t="shared" si="22"/>
        <v>6.4000000000000001E-2</v>
      </c>
      <c r="F135" s="27">
        <f t="shared" si="23"/>
        <v>0.128</v>
      </c>
      <c r="G135" s="27">
        <f t="shared" si="24"/>
        <v>0.16</v>
      </c>
      <c r="H135" s="27">
        <f t="shared" si="25"/>
        <v>0.32</v>
      </c>
      <c r="I135" s="27">
        <f t="shared" si="26"/>
        <v>0.64</v>
      </c>
      <c r="J135" s="27">
        <f t="shared" si="27"/>
        <v>1.28</v>
      </c>
      <c r="K135" s="27">
        <f t="shared" si="28"/>
        <v>1.6</v>
      </c>
      <c r="L135" s="27">
        <f t="shared" si="29"/>
        <v>16</v>
      </c>
      <c r="M135" s="28"/>
    </row>
    <row r="136" spans="1:13" ht="15" customHeight="1" x14ac:dyDescent="0.3">
      <c r="A136" s="5">
        <v>1033</v>
      </c>
      <c r="B136" s="5">
        <v>33</v>
      </c>
      <c r="C136" s="27">
        <f t="shared" si="20"/>
        <v>1.6500000000000001E-2</v>
      </c>
      <c r="D136" s="27">
        <f t="shared" si="21"/>
        <v>3.3000000000000002E-2</v>
      </c>
      <c r="E136" s="27">
        <f t="shared" si="22"/>
        <v>6.6000000000000003E-2</v>
      </c>
      <c r="F136" s="27">
        <f t="shared" si="23"/>
        <v>0.13200000000000001</v>
      </c>
      <c r="G136" s="27">
        <f t="shared" si="24"/>
        <v>0.16500000000000001</v>
      </c>
      <c r="H136" s="27">
        <f t="shared" si="25"/>
        <v>0.33</v>
      </c>
      <c r="I136" s="27">
        <f t="shared" si="26"/>
        <v>0.66</v>
      </c>
      <c r="J136" s="27">
        <f t="shared" si="27"/>
        <v>1.32</v>
      </c>
      <c r="K136" s="27">
        <f t="shared" si="28"/>
        <v>1.6500000000000001</v>
      </c>
      <c r="L136" s="27">
        <f t="shared" si="29"/>
        <v>16.5</v>
      </c>
      <c r="M136" s="28"/>
    </row>
    <row r="137" spans="1:13" ht="15" customHeight="1" x14ac:dyDescent="0.3">
      <c r="A137" s="5">
        <v>1034</v>
      </c>
      <c r="B137" s="5">
        <v>34</v>
      </c>
      <c r="C137" s="27">
        <f t="shared" si="20"/>
        <v>1.7000000000000001E-2</v>
      </c>
      <c r="D137" s="27">
        <f t="shared" si="21"/>
        <v>3.4000000000000002E-2</v>
      </c>
      <c r="E137" s="27">
        <f t="shared" si="22"/>
        <v>6.8000000000000005E-2</v>
      </c>
      <c r="F137" s="27">
        <f t="shared" si="23"/>
        <v>0.13600000000000001</v>
      </c>
      <c r="G137" s="27">
        <f t="shared" si="24"/>
        <v>0.17</v>
      </c>
      <c r="H137" s="27">
        <f t="shared" si="25"/>
        <v>0.34</v>
      </c>
      <c r="I137" s="27">
        <f t="shared" si="26"/>
        <v>0.68</v>
      </c>
      <c r="J137" s="27">
        <f t="shared" si="27"/>
        <v>1.36</v>
      </c>
      <c r="K137" s="27">
        <f t="shared" si="28"/>
        <v>1.7000000000000002</v>
      </c>
      <c r="L137" s="27">
        <f t="shared" si="29"/>
        <v>17</v>
      </c>
      <c r="M137" s="28"/>
    </row>
    <row r="138" spans="1:13" ht="15" customHeight="1" x14ac:dyDescent="0.3">
      <c r="A138" s="5">
        <v>1035</v>
      </c>
      <c r="B138" s="5">
        <v>35</v>
      </c>
      <c r="C138" s="27">
        <f t="shared" si="20"/>
        <v>1.7500000000000002E-2</v>
      </c>
      <c r="D138" s="27">
        <f t="shared" si="21"/>
        <v>3.5000000000000003E-2</v>
      </c>
      <c r="E138" s="27">
        <f t="shared" si="22"/>
        <v>7.0000000000000007E-2</v>
      </c>
      <c r="F138" s="27">
        <f t="shared" si="23"/>
        <v>0.14000000000000001</v>
      </c>
      <c r="G138" s="27">
        <f t="shared" si="24"/>
        <v>0.17500000000000002</v>
      </c>
      <c r="H138" s="27">
        <f t="shared" si="25"/>
        <v>0.35000000000000003</v>
      </c>
      <c r="I138" s="27">
        <f t="shared" si="26"/>
        <v>0.70000000000000007</v>
      </c>
      <c r="J138" s="27">
        <f t="shared" si="27"/>
        <v>1.4000000000000001</v>
      </c>
      <c r="K138" s="27">
        <f t="shared" si="28"/>
        <v>1.7500000000000002</v>
      </c>
      <c r="L138" s="27">
        <f t="shared" si="29"/>
        <v>17.5</v>
      </c>
      <c r="M138" s="28"/>
    </row>
    <row r="139" spans="1:13" ht="15" customHeight="1" x14ac:dyDescent="0.3">
      <c r="A139" s="5">
        <v>1036</v>
      </c>
      <c r="B139" s="5">
        <v>36</v>
      </c>
      <c r="C139" s="27">
        <f t="shared" si="20"/>
        <v>1.7999999999999999E-2</v>
      </c>
      <c r="D139" s="27">
        <f t="shared" si="21"/>
        <v>3.5999999999999997E-2</v>
      </c>
      <c r="E139" s="27">
        <f t="shared" si="22"/>
        <v>7.1999999999999995E-2</v>
      </c>
      <c r="F139" s="27">
        <f t="shared" si="23"/>
        <v>0.14399999999999999</v>
      </c>
      <c r="G139" s="27">
        <f t="shared" si="24"/>
        <v>0.18</v>
      </c>
      <c r="H139" s="27">
        <f t="shared" si="25"/>
        <v>0.36</v>
      </c>
      <c r="I139" s="27">
        <f t="shared" si="26"/>
        <v>0.72</v>
      </c>
      <c r="J139" s="27">
        <f t="shared" si="27"/>
        <v>1.44</v>
      </c>
      <c r="K139" s="27">
        <f t="shared" si="28"/>
        <v>1.7999999999999998</v>
      </c>
      <c r="L139" s="27">
        <f t="shared" si="29"/>
        <v>18</v>
      </c>
      <c r="M139" s="28"/>
    </row>
    <row r="140" spans="1:13" ht="15" customHeight="1" x14ac:dyDescent="0.3">
      <c r="A140" s="5">
        <v>1037</v>
      </c>
      <c r="B140" s="5">
        <v>37</v>
      </c>
      <c r="C140" s="27">
        <f t="shared" si="20"/>
        <v>1.8499999999999999E-2</v>
      </c>
      <c r="D140" s="27">
        <f t="shared" si="21"/>
        <v>3.6999999999999998E-2</v>
      </c>
      <c r="E140" s="27">
        <f t="shared" si="22"/>
        <v>7.3999999999999996E-2</v>
      </c>
      <c r="F140" s="27">
        <f t="shared" si="23"/>
        <v>0.14799999999999999</v>
      </c>
      <c r="G140" s="27">
        <f t="shared" si="24"/>
        <v>0.185</v>
      </c>
      <c r="H140" s="27">
        <f t="shared" si="25"/>
        <v>0.37</v>
      </c>
      <c r="I140" s="27">
        <f t="shared" si="26"/>
        <v>0.74</v>
      </c>
      <c r="J140" s="27">
        <f t="shared" si="27"/>
        <v>1.48</v>
      </c>
      <c r="K140" s="27">
        <f t="shared" si="28"/>
        <v>1.8499999999999999</v>
      </c>
      <c r="L140" s="27">
        <f t="shared" si="29"/>
        <v>18.5</v>
      </c>
      <c r="M140" s="28"/>
    </row>
    <row r="141" spans="1:13" ht="15" customHeight="1" x14ac:dyDescent="0.3">
      <c r="A141" s="5">
        <v>1038</v>
      </c>
      <c r="B141" s="5">
        <v>38</v>
      </c>
      <c r="C141" s="27">
        <f t="shared" si="20"/>
        <v>1.9E-2</v>
      </c>
      <c r="D141" s="27">
        <f t="shared" si="21"/>
        <v>3.7999999999999999E-2</v>
      </c>
      <c r="E141" s="27">
        <f t="shared" si="22"/>
        <v>7.5999999999999998E-2</v>
      </c>
      <c r="F141" s="27">
        <f t="shared" si="23"/>
        <v>0.152</v>
      </c>
      <c r="G141" s="27">
        <f t="shared" si="24"/>
        <v>0.19</v>
      </c>
      <c r="H141" s="27">
        <f t="shared" si="25"/>
        <v>0.38</v>
      </c>
      <c r="I141" s="27">
        <f t="shared" si="26"/>
        <v>0.76</v>
      </c>
      <c r="J141" s="27">
        <f t="shared" si="27"/>
        <v>1.52</v>
      </c>
      <c r="K141" s="27">
        <f t="shared" si="28"/>
        <v>1.9</v>
      </c>
      <c r="L141" s="27">
        <f t="shared" si="29"/>
        <v>19</v>
      </c>
      <c r="M141" s="28"/>
    </row>
    <row r="142" spans="1:13" ht="15" customHeight="1" x14ac:dyDescent="0.3">
      <c r="A142" s="5">
        <v>1039</v>
      </c>
      <c r="B142" s="5">
        <v>39</v>
      </c>
      <c r="C142" s="27">
        <f t="shared" si="20"/>
        <v>1.95E-2</v>
      </c>
      <c r="D142" s="27">
        <f t="shared" si="21"/>
        <v>3.9E-2</v>
      </c>
      <c r="E142" s="27">
        <f t="shared" si="22"/>
        <v>7.8E-2</v>
      </c>
      <c r="F142" s="27">
        <f t="shared" si="23"/>
        <v>0.156</v>
      </c>
      <c r="G142" s="27">
        <f t="shared" si="24"/>
        <v>0.19500000000000001</v>
      </c>
      <c r="H142" s="27">
        <f t="shared" si="25"/>
        <v>0.39</v>
      </c>
      <c r="I142" s="27">
        <f t="shared" si="26"/>
        <v>0.78</v>
      </c>
      <c r="J142" s="27">
        <f t="shared" si="27"/>
        <v>1.56</v>
      </c>
      <c r="K142" s="27">
        <f t="shared" si="28"/>
        <v>1.95</v>
      </c>
      <c r="L142" s="27">
        <f t="shared" si="29"/>
        <v>19.5</v>
      </c>
      <c r="M142" s="28"/>
    </row>
    <row r="143" spans="1:13" ht="15" customHeight="1" x14ac:dyDescent="0.3">
      <c r="A143" s="9">
        <v>1040</v>
      </c>
      <c r="B143" s="5">
        <v>40</v>
      </c>
      <c r="C143" s="15">
        <f t="shared" si="20"/>
        <v>0.02</v>
      </c>
      <c r="D143" s="15">
        <f t="shared" si="21"/>
        <v>0.04</v>
      </c>
      <c r="E143" s="15">
        <f t="shared" si="22"/>
        <v>0.08</v>
      </c>
      <c r="F143" s="15">
        <f t="shared" si="23"/>
        <v>0.16</v>
      </c>
      <c r="G143" s="15">
        <f t="shared" si="24"/>
        <v>0.2</v>
      </c>
      <c r="H143" s="15">
        <f t="shared" si="25"/>
        <v>0.4</v>
      </c>
      <c r="I143" s="15">
        <f t="shared" si="26"/>
        <v>0.8</v>
      </c>
      <c r="J143" s="15">
        <f t="shared" si="27"/>
        <v>1.6</v>
      </c>
      <c r="K143" s="15">
        <f t="shared" si="28"/>
        <v>2</v>
      </c>
      <c r="L143" s="15">
        <f t="shared" si="29"/>
        <v>20</v>
      </c>
      <c r="M143" s="28"/>
    </row>
    <row r="144" spans="1:13" ht="15" customHeight="1" x14ac:dyDescent="0.3">
      <c r="A144" s="5">
        <v>1041</v>
      </c>
      <c r="B144" s="5">
        <v>41</v>
      </c>
      <c r="C144" s="27">
        <f t="shared" si="20"/>
        <v>2.0500000000000001E-2</v>
      </c>
      <c r="D144" s="27">
        <f t="shared" si="21"/>
        <v>4.1000000000000002E-2</v>
      </c>
      <c r="E144" s="27">
        <f t="shared" si="22"/>
        <v>8.2000000000000003E-2</v>
      </c>
      <c r="F144" s="27">
        <f t="shared" si="23"/>
        <v>0.16400000000000001</v>
      </c>
      <c r="G144" s="27">
        <f t="shared" si="24"/>
        <v>0.20500000000000002</v>
      </c>
      <c r="H144" s="27">
        <f t="shared" si="25"/>
        <v>0.41000000000000003</v>
      </c>
      <c r="I144" s="27">
        <f t="shared" si="26"/>
        <v>0.82000000000000006</v>
      </c>
      <c r="J144" s="27">
        <f t="shared" si="27"/>
        <v>1.6400000000000001</v>
      </c>
      <c r="K144" s="27">
        <f t="shared" si="28"/>
        <v>2.0500000000000003</v>
      </c>
      <c r="L144" s="27">
        <f t="shared" si="29"/>
        <v>20.5</v>
      </c>
      <c r="M144" s="28"/>
    </row>
    <row r="145" spans="1:13" ht="15" customHeight="1" x14ac:dyDescent="0.3">
      <c r="A145" s="5">
        <v>1042</v>
      </c>
      <c r="B145" s="5">
        <v>42</v>
      </c>
      <c r="C145" s="27">
        <f t="shared" si="20"/>
        <v>2.1000000000000001E-2</v>
      </c>
      <c r="D145" s="27">
        <f t="shared" si="21"/>
        <v>4.2000000000000003E-2</v>
      </c>
      <c r="E145" s="27">
        <f t="shared" si="22"/>
        <v>8.4000000000000005E-2</v>
      </c>
      <c r="F145" s="27">
        <f t="shared" si="23"/>
        <v>0.16800000000000001</v>
      </c>
      <c r="G145" s="27">
        <f t="shared" si="24"/>
        <v>0.21000000000000002</v>
      </c>
      <c r="H145" s="27">
        <f t="shared" si="25"/>
        <v>0.42000000000000004</v>
      </c>
      <c r="I145" s="27">
        <f t="shared" si="26"/>
        <v>0.84000000000000008</v>
      </c>
      <c r="J145" s="27">
        <f t="shared" si="27"/>
        <v>1.6800000000000002</v>
      </c>
      <c r="K145" s="27">
        <f t="shared" si="28"/>
        <v>2.1</v>
      </c>
      <c r="L145" s="27">
        <f t="shared" si="29"/>
        <v>21</v>
      </c>
      <c r="M145" s="28"/>
    </row>
    <row r="146" spans="1:13" ht="15" customHeight="1" x14ac:dyDescent="0.3">
      <c r="A146" s="5">
        <v>1043</v>
      </c>
      <c r="B146" s="5">
        <v>43</v>
      </c>
      <c r="C146" s="27">
        <f t="shared" si="20"/>
        <v>2.1499999999999998E-2</v>
      </c>
      <c r="D146" s="27">
        <f t="shared" si="21"/>
        <v>4.2999999999999997E-2</v>
      </c>
      <c r="E146" s="27">
        <f t="shared" si="22"/>
        <v>8.5999999999999993E-2</v>
      </c>
      <c r="F146" s="27">
        <f t="shared" si="23"/>
        <v>0.17199999999999999</v>
      </c>
      <c r="G146" s="27">
        <f t="shared" si="24"/>
        <v>0.21499999999999997</v>
      </c>
      <c r="H146" s="27">
        <f t="shared" si="25"/>
        <v>0.42999999999999994</v>
      </c>
      <c r="I146" s="27">
        <f t="shared" si="26"/>
        <v>0.85999999999999988</v>
      </c>
      <c r="J146" s="27">
        <f t="shared" si="27"/>
        <v>1.7199999999999998</v>
      </c>
      <c r="K146" s="27">
        <f t="shared" si="28"/>
        <v>2.15</v>
      </c>
      <c r="L146" s="27">
        <f t="shared" si="29"/>
        <v>21.5</v>
      </c>
      <c r="M146" s="28"/>
    </row>
    <row r="147" spans="1:13" ht="15" customHeight="1" x14ac:dyDescent="0.3">
      <c r="A147" s="5">
        <v>1044</v>
      </c>
      <c r="B147" s="5">
        <v>44</v>
      </c>
      <c r="C147" s="27">
        <f t="shared" si="20"/>
        <v>2.1999999999999999E-2</v>
      </c>
      <c r="D147" s="27">
        <f t="shared" si="21"/>
        <v>4.3999999999999997E-2</v>
      </c>
      <c r="E147" s="27">
        <f t="shared" si="22"/>
        <v>8.7999999999999995E-2</v>
      </c>
      <c r="F147" s="27">
        <f t="shared" si="23"/>
        <v>0.17599999999999999</v>
      </c>
      <c r="G147" s="27">
        <f t="shared" si="24"/>
        <v>0.21999999999999997</v>
      </c>
      <c r="H147" s="27">
        <f t="shared" si="25"/>
        <v>0.43999999999999995</v>
      </c>
      <c r="I147" s="27">
        <f t="shared" si="26"/>
        <v>0.87999999999999989</v>
      </c>
      <c r="J147" s="27">
        <f t="shared" si="27"/>
        <v>1.7599999999999998</v>
      </c>
      <c r="K147" s="27">
        <f t="shared" si="28"/>
        <v>2.1999999999999997</v>
      </c>
      <c r="L147" s="27">
        <f t="shared" si="29"/>
        <v>22</v>
      </c>
      <c r="M147" s="28"/>
    </row>
    <row r="148" spans="1:13" ht="15" customHeight="1" x14ac:dyDescent="0.3">
      <c r="A148" s="5">
        <v>1045</v>
      </c>
      <c r="B148" s="5">
        <v>45</v>
      </c>
      <c r="C148" s="27">
        <f t="shared" si="20"/>
        <v>2.2499999999999999E-2</v>
      </c>
      <c r="D148" s="27">
        <f t="shared" si="21"/>
        <v>4.4999999999999998E-2</v>
      </c>
      <c r="E148" s="27">
        <f t="shared" si="22"/>
        <v>0.09</v>
      </c>
      <c r="F148" s="27">
        <f t="shared" si="23"/>
        <v>0.18</v>
      </c>
      <c r="G148" s="27">
        <f t="shared" si="24"/>
        <v>0.22499999999999998</v>
      </c>
      <c r="H148" s="27">
        <f t="shared" si="25"/>
        <v>0.44999999999999996</v>
      </c>
      <c r="I148" s="27">
        <f t="shared" si="26"/>
        <v>0.89999999999999991</v>
      </c>
      <c r="J148" s="27">
        <f t="shared" si="27"/>
        <v>1.7999999999999998</v>
      </c>
      <c r="K148" s="27">
        <f t="shared" si="28"/>
        <v>2.25</v>
      </c>
      <c r="L148" s="27">
        <f t="shared" si="29"/>
        <v>22.5</v>
      </c>
      <c r="M148" s="28"/>
    </row>
    <row r="149" spans="1:13" ht="15" customHeight="1" x14ac:dyDescent="0.3">
      <c r="A149" s="5">
        <v>1046</v>
      </c>
      <c r="B149" s="5">
        <v>46</v>
      </c>
      <c r="C149" s="27">
        <f t="shared" si="20"/>
        <v>2.3E-2</v>
      </c>
      <c r="D149" s="27">
        <f t="shared" si="21"/>
        <v>4.5999999999999999E-2</v>
      </c>
      <c r="E149" s="27">
        <f t="shared" si="22"/>
        <v>9.1999999999999998E-2</v>
      </c>
      <c r="F149" s="27">
        <f t="shared" si="23"/>
        <v>0.184</v>
      </c>
      <c r="G149" s="27">
        <f t="shared" si="24"/>
        <v>0.22999999999999998</v>
      </c>
      <c r="H149" s="27">
        <f t="shared" si="25"/>
        <v>0.45999999999999996</v>
      </c>
      <c r="I149" s="27">
        <f t="shared" si="26"/>
        <v>0.91999999999999993</v>
      </c>
      <c r="J149" s="27">
        <f t="shared" si="27"/>
        <v>1.8399999999999999</v>
      </c>
      <c r="K149" s="27">
        <f t="shared" si="28"/>
        <v>2.2999999999999998</v>
      </c>
      <c r="L149" s="27">
        <f t="shared" si="29"/>
        <v>23</v>
      </c>
      <c r="M149" s="28"/>
    </row>
    <row r="150" spans="1:13" ht="15" customHeight="1" x14ac:dyDescent="0.3">
      <c r="A150" s="5">
        <v>1047</v>
      </c>
      <c r="B150" s="5">
        <v>47</v>
      </c>
      <c r="C150" s="27">
        <f t="shared" si="20"/>
        <v>2.35E-2</v>
      </c>
      <c r="D150" s="27">
        <f t="shared" si="21"/>
        <v>4.7E-2</v>
      </c>
      <c r="E150" s="27">
        <f t="shared" si="22"/>
        <v>9.4E-2</v>
      </c>
      <c r="F150" s="27">
        <f t="shared" si="23"/>
        <v>0.188</v>
      </c>
      <c r="G150" s="27">
        <f t="shared" si="24"/>
        <v>0.23499999999999999</v>
      </c>
      <c r="H150" s="27">
        <f t="shared" si="25"/>
        <v>0.47</v>
      </c>
      <c r="I150" s="27">
        <f t="shared" si="26"/>
        <v>0.94</v>
      </c>
      <c r="J150" s="27">
        <f t="shared" si="27"/>
        <v>1.88</v>
      </c>
      <c r="K150" s="27">
        <f t="shared" si="28"/>
        <v>2.35</v>
      </c>
      <c r="L150" s="27">
        <f t="shared" si="29"/>
        <v>23.5</v>
      </c>
      <c r="M150" s="28"/>
    </row>
    <row r="151" spans="1:13" ht="15" customHeight="1" x14ac:dyDescent="0.3">
      <c r="A151" s="5">
        <v>1048</v>
      </c>
      <c r="B151" s="5">
        <v>48</v>
      </c>
      <c r="C151" s="27">
        <f t="shared" si="20"/>
        <v>2.4E-2</v>
      </c>
      <c r="D151" s="27">
        <f t="shared" si="21"/>
        <v>4.8000000000000001E-2</v>
      </c>
      <c r="E151" s="27">
        <f t="shared" si="22"/>
        <v>9.6000000000000002E-2</v>
      </c>
      <c r="F151" s="27">
        <f t="shared" si="23"/>
        <v>0.192</v>
      </c>
      <c r="G151" s="27">
        <f t="shared" si="24"/>
        <v>0.24</v>
      </c>
      <c r="H151" s="27">
        <f t="shared" si="25"/>
        <v>0.48</v>
      </c>
      <c r="I151" s="27">
        <f t="shared" si="26"/>
        <v>0.96</v>
      </c>
      <c r="J151" s="27">
        <f t="shared" si="27"/>
        <v>1.92</v>
      </c>
      <c r="K151" s="27">
        <f t="shared" si="28"/>
        <v>2.4</v>
      </c>
      <c r="L151" s="27">
        <f t="shared" si="29"/>
        <v>24</v>
      </c>
      <c r="M151" s="28"/>
    </row>
    <row r="152" spans="1:13" ht="15" customHeight="1" x14ac:dyDescent="0.3">
      <c r="A152" s="5">
        <v>1049</v>
      </c>
      <c r="B152" s="5">
        <v>49</v>
      </c>
      <c r="C152" s="27">
        <f t="shared" si="20"/>
        <v>2.4500000000000001E-2</v>
      </c>
      <c r="D152" s="27">
        <f t="shared" si="21"/>
        <v>4.9000000000000002E-2</v>
      </c>
      <c r="E152" s="27">
        <f t="shared" si="22"/>
        <v>9.8000000000000004E-2</v>
      </c>
      <c r="F152" s="27">
        <f t="shared" si="23"/>
        <v>0.19600000000000001</v>
      </c>
      <c r="G152" s="27">
        <f t="shared" si="24"/>
        <v>0.245</v>
      </c>
      <c r="H152" s="27">
        <f t="shared" si="25"/>
        <v>0.49</v>
      </c>
      <c r="I152" s="27">
        <f t="shared" si="26"/>
        <v>0.98</v>
      </c>
      <c r="J152" s="27">
        <f t="shared" si="27"/>
        <v>1.96</v>
      </c>
      <c r="K152" s="27">
        <f t="shared" si="28"/>
        <v>2.4500000000000002</v>
      </c>
      <c r="L152" s="27">
        <f t="shared" si="29"/>
        <v>24.5</v>
      </c>
      <c r="M152" s="28"/>
    </row>
    <row r="153" spans="1:13" ht="15" customHeight="1" x14ac:dyDescent="0.3">
      <c r="A153" s="9">
        <v>1050</v>
      </c>
      <c r="B153" s="5">
        <v>50</v>
      </c>
      <c r="C153" s="15">
        <f t="shared" si="20"/>
        <v>2.5000000000000001E-2</v>
      </c>
      <c r="D153" s="15">
        <f t="shared" si="21"/>
        <v>0.05</v>
      </c>
      <c r="E153" s="15">
        <f t="shared" si="22"/>
        <v>0.1</v>
      </c>
      <c r="F153" s="15">
        <f t="shared" si="23"/>
        <v>0.2</v>
      </c>
      <c r="G153" s="15">
        <f t="shared" si="24"/>
        <v>0.25</v>
      </c>
      <c r="H153" s="15">
        <f t="shared" si="25"/>
        <v>0.5</v>
      </c>
      <c r="I153" s="15">
        <f t="shared" si="26"/>
        <v>1</v>
      </c>
      <c r="J153" s="15">
        <f t="shared" si="27"/>
        <v>2</v>
      </c>
      <c r="K153" s="15">
        <f t="shared" si="28"/>
        <v>2.5</v>
      </c>
      <c r="L153" s="15">
        <f t="shared" si="29"/>
        <v>25</v>
      </c>
      <c r="M153" s="28"/>
    </row>
    <row r="154" spans="1:13" ht="15" customHeight="1" x14ac:dyDescent="0.3">
      <c r="A154" s="5">
        <v>1051</v>
      </c>
      <c r="B154" s="5">
        <v>51</v>
      </c>
      <c r="C154" s="27">
        <f t="shared" si="20"/>
        <v>2.5499999999999998E-2</v>
      </c>
      <c r="D154" s="27">
        <f t="shared" si="21"/>
        <v>5.0999999999999997E-2</v>
      </c>
      <c r="E154" s="27">
        <f t="shared" si="22"/>
        <v>0.10199999999999999</v>
      </c>
      <c r="F154" s="27">
        <f t="shared" si="23"/>
        <v>0.20399999999999999</v>
      </c>
      <c r="G154" s="27">
        <f t="shared" si="24"/>
        <v>0.255</v>
      </c>
      <c r="H154" s="27">
        <f t="shared" si="25"/>
        <v>0.51</v>
      </c>
      <c r="I154" s="27">
        <f t="shared" si="26"/>
        <v>1.02</v>
      </c>
      <c r="J154" s="27">
        <f t="shared" si="27"/>
        <v>2.04</v>
      </c>
      <c r="K154" s="27">
        <f t="shared" si="28"/>
        <v>2.5499999999999998</v>
      </c>
      <c r="L154" s="27">
        <f t="shared" si="29"/>
        <v>25.5</v>
      </c>
      <c r="M154" s="28"/>
    </row>
    <row r="155" spans="1:13" ht="15" customHeight="1" x14ac:dyDescent="0.3">
      <c r="A155" s="5">
        <v>1052</v>
      </c>
      <c r="B155" s="5">
        <v>52</v>
      </c>
      <c r="C155" s="27">
        <f t="shared" si="20"/>
        <v>2.5999999999999999E-2</v>
      </c>
      <c r="D155" s="27">
        <f t="shared" si="21"/>
        <v>5.1999999999999998E-2</v>
      </c>
      <c r="E155" s="27">
        <f t="shared" si="22"/>
        <v>0.104</v>
      </c>
      <c r="F155" s="27">
        <f t="shared" si="23"/>
        <v>0.20799999999999999</v>
      </c>
      <c r="G155" s="27">
        <f t="shared" si="24"/>
        <v>0.26</v>
      </c>
      <c r="H155" s="27">
        <f t="shared" si="25"/>
        <v>0.52</v>
      </c>
      <c r="I155" s="27">
        <f t="shared" si="26"/>
        <v>1.04</v>
      </c>
      <c r="J155" s="27">
        <f t="shared" si="27"/>
        <v>2.08</v>
      </c>
      <c r="K155" s="27">
        <f t="shared" si="28"/>
        <v>2.6</v>
      </c>
      <c r="L155" s="27">
        <f t="shared" si="29"/>
        <v>26</v>
      </c>
      <c r="M155" s="28"/>
    </row>
    <row r="156" spans="1:13" ht="15" customHeight="1" x14ac:dyDescent="0.3">
      <c r="A156" s="5">
        <v>1053</v>
      </c>
      <c r="B156" s="5">
        <v>53</v>
      </c>
      <c r="C156" s="27">
        <f t="shared" si="20"/>
        <v>2.6499999999999999E-2</v>
      </c>
      <c r="D156" s="27">
        <f t="shared" si="21"/>
        <v>5.2999999999999999E-2</v>
      </c>
      <c r="E156" s="27">
        <f t="shared" si="22"/>
        <v>0.106</v>
      </c>
      <c r="F156" s="27">
        <f t="shared" si="23"/>
        <v>0.21199999999999999</v>
      </c>
      <c r="G156" s="27">
        <f t="shared" si="24"/>
        <v>0.26500000000000001</v>
      </c>
      <c r="H156" s="27">
        <f t="shared" si="25"/>
        <v>0.53</v>
      </c>
      <c r="I156" s="27">
        <f t="shared" si="26"/>
        <v>1.06</v>
      </c>
      <c r="J156" s="27">
        <f t="shared" si="27"/>
        <v>2.12</v>
      </c>
      <c r="K156" s="27">
        <f t="shared" si="28"/>
        <v>2.65</v>
      </c>
      <c r="L156" s="27">
        <f t="shared" si="29"/>
        <v>26.5</v>
      </c>
      <c r="M156" s="28"/>
    </row>
    <row r="157" spans="1:13" ht="15" customHeight="1" x14ac:dyDescent="0.3">
      <c r="A157" s="5">
        <v>1054</v>
      </c>
      <c r="B157" s="5">
        <v>54</v>
      </c>
      <c r="C157" s="27">
        <f t="shared" si="20"/>
        <v>2.7E-2</v>
      </c>
      <c r="D157" s="27">
        <f t="shared" si="21"/>
        <v>5.3999999999999999E-2</v>
      </c>
      <c r="E157" s="27">
        <f t="shared" si="22"/>
        <v>0.108</v>
      </c>
      <c r="F157" s="27">
        <f t="shared" si="23"/>
        <v>0.216</v>
      </c>
      <c r="G157" s="27">
        <f t="shared" si="24"/>
        <v>0.27</v>
      </c>
      <c r="H157" s="27">
        <f t="shared" si="25"/>
        <v>0.54</v>
      </c>
      <c r="I157" s="27">
        <f t="shared" si="26"/>
        <v>1.08</v>
      </c>
      <c r="J157" s="27">
        <f t="shared" si="27"/>
        <v>2.16</v>
      </c>
      <c r="K157" s="27">
        <f t="shared" si="28"/>
        <v>2.7</v>
      </c>
      <c r="L157" s="27">
        <f t="shared" si="29"/>
        <v>27</v>
      </c>
      <c r="M157" s="28"/>
    </row>
    <row r="158" spans="1:13" ht="15" customHeight="1" x14ac:dyDescent="0.3">
      <c r="A158" s="5">
        <v>1055</v>
      </c>
      <c r="B158" s="5">
        <v>55</v>
      </c>
      <c r="C158" s="27">
        <f t="shared" si="20"/>
        <v>2.75E-2</v>
      </c>
      <c r="D158" s="27">
        <f t="shared" si="21"/>
        <v>5.5E-2</v>
      </c>
      <c r="E158" s="27">
        <f t="shared" si="22"/>
        <v>0.11</v>
      </c>
      <c r="F158" s="27">
        <f t="shared" si="23"/>
        <v>0.22</v>
      </c>
      <c r="G158" s="27">
        <f t="shared" si="24"/>
        <v>0.27500000000000002</v>
      </c>
      <c r="H158" s="27">
        <f t="shared" si="25"/>
        <v>0.55000000000000004</v>
      </c>
      <c r="I158" s="27">
        <f t="shared" si="26"/>
        <v>1.1000000000000001</v>
      </c>
      <c r="J158" s="27">
        <f t="shared" si="27"/>
        <v>2.2000000000000002</v>
      </c>
      <c r="K158" s="27">
        <f t="shared" si="28"/>
        <v>2.75</v>
      </c>
      <c r="L158" s="27">
        <f t="shared" si="29"/>
        <v>27.5</v>
      </c>
      <c r="M158" s="28"/>
    </row>
    <row r="159" spans="1:13" ht="15" customHeight="1" x14ac:dyDescent="0.3">
      <c r="A159" s="5">
        <v>1056</v>
      </c>
      <c r="B159" s="5">
        <v>56</v>
      </c>
      <c r="C159" s="27">
        <f t="shared" si="20"/>
        <v>2.8000000000000001E-2</v>
      </c>
      <c r="D159" s="27">
        <f t="shared" si="21"/>
        <v>5.6000000000000001E-2</v>
      </c>
      <c r="E159" s="27">
        <f t="shared" si="22"/>
        <v>0.112</v>
      </c>
      <c r="F159" s="27">
        <f t="shared" si="23"/>
        <v>0.224</v>
      </c>
      <c r="G159" s="27">
        <f t="shared" si="24"/>
        <v>0.28000000000000003</v>
      </c>
      <c r="H159" s="27">
        <f t="shared" si="25"/>
        <v>0.56000000000000005</v>
      </c>
      <c r="I159" s="27">
        <f t="shared" si="26"/>
        <v>1.1200000000000001</v>
      </c>
      <c r="J159" s="27">
        <f t="shared" si="27"/>
        <v>2.2400000000000002</v>
      </c>
      <c r="K159" s="27">
        <f t="shared" si="28"/>
        <v>2.8000000000000003</v>
      </c>
      <c r="L159" s="27">
        <f t="shared" si="29"/>
        <v>28</v>
      </c>
      <c r="M159" s="28"/>
    </row>
    <row r="160" spans="1:13" ht="15" customHeight="1" x14ac:dyDescent="0.3">
      <c r="A160" s="5">
        <v>1057</v>
      </c>
      <c r="B160" s="5">
        <v>57</v>
      </c>
      <c r="C160" s="27">
        <f t="shared" si="20"/>
        <v>2.8500000000000001E-2</v>
      </c>
      <c r="D160" s="27">
        <f t="shared" si="21"/>
        <v>5.7000000000000002E-2</v>
      </c>
      <c r="E160" s="27">
        <f t="shared" si="22"/>
        <v>0.114</v>
      </c>
      <c r="F160" s="27">
        <f t="shared" si="23"/>
        <v>0.22800000000000001</v>
      </c>
      <c r="G160" s="27">
        <f t="shared" si="24"/>
        <v>0.28500000000000003</v>
      </c>
      <c r="H160" s="27">
        <f t="shared" si="25"/>
        <v>0.57000000000000006</v>
      </c>
      <c r="I160" s="27">
        <f t="shared" si="26"/>
        <v>1.1400000000000001</v>
      </c>
      <c r="J160" s="27">
        <f t="shared" si="27"/>
        <v>2.2800000000000002</v>
      </c>
      <c r="K160" s="27">
        <f t="shared" si="28"/>
        <v>2.85</v>
      </c>
      <c r="L160" s="27">
        <f t="shared" si="29"/>
        <v>28.5</v>
      </c>
      <c r="M160" s="28"/>
    </row>
    <row r="161" spans="1:13" ht="15" customHeight="1" x14ac:dyDescent="0.3">
      <c r="A161" s="5">
        <v>1058</v>
      </c>
      <c r="B161" s="5">
        <v>58</v>
      </c>
      <c r="C161" s="27">
        <f t="shared" si="20"/>
        <v>2.9000000000000001E-2</v>
      </c>
      <c r="D161" s="27">
        <f t="shared" si="21"/>
        <v>5.8000000000000003E-2</v>
      </c>
      <c r="E161" s="27">
        <f t="shared" si="22"/>
        <v>0.11600000000000001</v>
      </c>
      <c r="F161" s="27">
        <f t="shared" si="23"/>
        <v>0.23200000000000001</v>
      </c>
      <c r="G161" s="27">
        <f t="shared" si="24"/>
        <v>0.29000000000000004</v>
      </c>
      <c r="H161" s="27">
        <f t="shared" si="25"/>
        <v>0.58000000000000007</v>
      </c>
      <c r="I161" s="27">
        <f t="shared" si="26"/>
        <v>1.1600000000000001</v>
      </c>
      <c r="J161" s="27">
        <f t="shared" si="27"/>
        <v>2.3200000000000003</v>
      </c>
      <c r="K161" s="27">
        <f t="shared" si="28"/>
        <v>2.9000000000000004</v>
      </c>
      <c r="L161" s="27">
        <f t="shared" si="29"/>
        <v>29</v>
      </c>
      <c r="M161" s="28"/>
    </row>
    <row r="162" spans="1:13" ht="15" customHeight="1" x14ac:dyDescent="0.3">
      <c r="A162" s="5">
        <v>1059</v>
      </c>
      <c r="B162" s="5">
        <v>59</v>
      </c>
      <c r="C162" s="27">
        <f t="shared" si="20"/>
        <v>2.9499999999999998E-2</v>
      </c>
      <c r="D162" s="27">
        <f t="shared" si="21"/>
        <v>5.8999999999999997E-2</v>
      </c>
      <c r="E162" s="27">
        <f t="shared" si="22"/>
        <v>0.11799999999999999</v>
      </c>
      <c r="F162" s="27">
        <f t="shared" si="23"/>
        <v>0.23599999999999999</v>
      </c>
      <c r="G162" s="27">
        <f t="shared" si="24"/>
        <v>0.29499999999999998</v>
      </c>
      <c r="H162" s="27">
        <f t="shared" si="25"/>
        <v>0.59</v>
      </c>
      <c r="I162" s="27">
        <f t="shared" si="26"/>
        <v>1.18</v>
      </c>
      <c r="J162" s="27">
        <f t="shared" si="27"/>
        <v>2.36</v>
      </c>
      <c r="K162" s="27">
        <f t="shared" si="28"/>
        <v>2.9499999999999997</v>
      </c>
      <c r="L162" s="27">
        <f t="shared" si="29"/>
        <v>29.5</v>
      </c>
      <c r="M162" s="28"/>
    </row>
    <row r="163" spans="1:13" ht="15" customHeight="1" x14ac:dyDescent="0.3">
      <c r="A163" s="9">
        <v>1060</v>
      </c>
      <c r="B163" s="5">
        <v>60</v>
      </c>
      <c r="C163" s="15">
        <f t="shared" si="20"/>
        <v>0.03</v>
      </c>
      <c r="D163" s="15">
        <f t="shared" si="21"/>
        <v>0.06</v>
      </c>
      <c r="E163" s="15">
        <f t="shared" si="22"/>
        <v>0.12</v>
      </c>
      <c r="F163" s="15">
        <f t="shared" si="23"/>
        <v>0.24</v>
      </c>
      <c r="G163" s="15">
        <f t="shared" si="24"/>
        <v>0.3</v>
      </c>
      <c r="H163" s="15">
        <f t="shared" si="25"/>
        <v>0.6</v>
      </c>
      <c r="I163" s="15">
        <f t="shared" si="26"/>
        <v>1.2</v>
      </c>
      <c r="J163" s="15">
        <f t="shared" si="27"/>
        <v>2.4</v>
      </c>
      <c r="K163" s="15">
        <f t="shared" si="28"/>
        <v>3</v>
      </c>
      <c r="L163" s="15">
        <f t="shared" si="29"/>
        <v>30</v>
      </c>
      <c r="M163" s="28"/>
    </row>
    <row r="164" spans="1:13" ht="15" customHeight="1" x14ac:dyDescent="0.3">
      <c r="A164" s="5">
        <v>1061</v>
      </c>
      <c r="B164" s="5">
        <v>61</v>
      </c>
      <c r="C164" s="27">
        <f t="shared" si="20"/>
        <v>3.0499999999999999E-2</v>
      </c>
      <c r="D164" s="27">
        <f t="shared" si="21"/>
        <v>6.0999999999999999E-2</v>
      </c>
      <c r="E164" s="27">
        <f t="shared" si="22"/>
        <v>0.122</v>
      </c>
      <c r="F164" s="27">
        <f t="shared" si="23"/>
        <v>0.24399999999999999</v>
      </c>
      <c r="G164" s="27">
        <f t="shared" si="24"/>
        <v>0.30499999999999999</v>
      </c>
      <c r="H164" s="27">
        <f t="shared" si="25"/>
        <v>0.61</v>
      </c>
      <c r="I164" s="27">
        <f t="shared" si="26"/>
        <v>1.22</v>
      </c>
      <c r="J164" s="27">
        <f t="shared" si="27"/>
        <v>2.44</v>
      </c>
      <c r="K164" s="27">
        <f t="shared" si="28"/>
        <v>3.05</v>
      </c>
      <c r="L164" s="27">
        <f t="shared" si="29"/>
        <v>30.5</v>
      </c>
      <c r="M164" s="28"/>
    </row>
    <row r="165" spans="1:13" ht="15" customHeight="1" x14ac:dyDescent="0.3">
      <c r="A165" s="5">
        <v>1062</v>
      </c>
      <c r="B165" s="5">
        <v>62</v>
      </c>
      <c r="C165" s="27">
        <f t="shared" si="20"/>
        <v>3.1E-2</v>
      </c>
      <c r="D165" s="27">
        <f t="shared" si="21"/>
        <v>6.2E-2</v>
      </c>
      <c r="E165" s="27">
        <f t="shared" si="22"/>
        <v>0.124</v>
      </c>
      <c r="F165" s="27">
        <f t="shared" si="23"/>
        <v>0.248</v>
      </c>
      <c r="G165" s="27">
        <f t="shared" si="24"/>
        <v>0.31</v>
      </c>
      <c r="H165" s="27">
        <f t="shared" si="25"/>
        <v>0.62</v>
      </c>
      <c r="I165" s="27">
        <f t="shared" si="26"/>
        <v>1.24</v>
      </c>
      <c r="J165" s="27">
        <f t="shared" si="27"/>
        <v>2.48</v>
      </c>
      <c r="K165" s="27">
        <f t="shared" si="28"/>
        <v>3.1</v>
      </c>
      <c r="L165" s="27">
        <f t="shared" si="29"/>
        <v>31</v>
      </c>
      <c r="M165" s="28"/>
    </row>
    <row r="166" spans="1:13" ht="15" customHeight="1" x14ac:dyDescent="0.3">
      <c r="A166" s="5">
        <v>1063</v>
      </c>
      <c r="B166" s="5">
        <v>63</v>
      </c>
      <c r="C166" s="27">
        <f t="shared" si="20"/>
        <v>3.15E-2</v>
      </c>
      <c r="D166" s="27">
        <f t="shared" si="21"/>
        <v>6.3E-2</v>
      </c>
      <c r="E166" s="27">
        <f t="shared" si="22"/>
        <v>0.126</v>
      </c>
      <c r="F166" s="27">
        <f t="shared" si="23"/>
        <v>0.252</v>
      </c>
      <c r="G166" s="27">
        <f t="shared" si="24"/>
        <v>0.315</v>
      </c>
      <c r="H166" s="27">
        <f t="shared" si="25"/>
        <v>0.63</v>
      </c>
      <c r="I166" s="27">
        <f t="shared" si="26"/>
        <v>1.26</v>
      </c>
      <c r="J166" s="27">
        <f t="shared" si="27"/>
        <v>2.52</v>
      </c>
      <c r="K166" s="27">
        <f t="shared" si="28"/>
        <v>3.15</v>
      </c>
      <c r="L166" s="27">
        <f t="shared" si="29"/>
        <v>31.5</v>
      </c>
      <c r="M166" s="28"/>
    </row>
    <row r="167" spans="1:13" ht="15" customHeight="1" x14ac:dyDescent="0.3">
      <c r="A167" s="5">
        <v>1064</v>
      </c>
      <c r="B167" s="5">
        <v>64</v>
      </c>
      <c r="C167" s="27">
        <f t="shared" si="20"/>
        <v>3.2000000000000001E-2</v>
      </c>
      <c r="D167" s="27">
        <f t="shared" si="21"/>
        <v>6.4000000000000001E-2</v>
      </c>
      <c r="E167" s="27">
        <f t="shared" si="22"/>
        <v>0.128</v>
      </c>
      <c r="F167" s="27">
        <f t="shared" si="23"/>
        <v>0.25600000000000001</v>
      </c>
      <c r="G167" s="27">
        <f t="shared" si="24"/>
        <v>0.32</v>
      </c>
      <c r="H167" s="27">
        <f t="shared" si="25"/>
        <v>0.64</v>
      </c>
      <c r="I167" s="27">
        <f t="shared" si="26"/>
        <v>1.28</v>
      </c>
      <c r="J167" s="27">
        <f t="shared" si="27"/>
        <v>2.56</v>
      </c>
      <c r="K167" s="27">
        <f t="shared" si="28"/>
        <v>3.2</v>
      </c>
      <c r="L167" s="27">
        <f t="shared" si="29"/>
        <v>32</v>
      </c>
      <c r="M167" s="28"/>
    </row>
    <row r="168" spans="1:13" ht="15" customHeight="1" x14ac:dyDescent="0.3">
      <c r="A168" s="5">
        <v>1065</v>
      </c>
      <c r="B168" s="5">
        <v>65</v>
      </c>
      <c r="C168" s="27">
        <f t="shared" si="20"/>
        <v>3.2500000000000001E-2</v>
      </c>
      <c r="D168" s="27">
        <f t="shared" si="21"/>
        <v>6.5000000000000002E-2</v>
      </c>
      <c r="E168" s="27">
        <f t="shared" si="22"/>
        <v>0.13</v>
      </c>
      <c r="F168" s="27">
        <f t="shared" si="23"/>
        <v>0.26</v>
      </c>
      <c r="G168" s="27">
        <f t="shared" si="24"/>
        <v>0.32500000000000001</v>
      </c>
      <c r="H168" s="27">
        <f t="shared" si="25"/>
        <v>0.65</v>
      </c>
      <c r="I168" s="27">
        <f t="shared" si="26"/>
        <v>1.3</v>
      </c>
      <c r="J168" s="27">
        <f t="shared" si="27"/>
        <v>2.6</v>
      </c>
      <c r="K168" s="27">
        <f t="shared" si="28"/>
        <v>3.25</v>
      </c>
      <c r="L168" s="27">
        <f t="shared" si="29"/>
        <v>32.5</v>
      </c>
      <c r="M168" s="28"/>
    </row>
    <row r="169" spans="1:13" ht="15" customHeight="1" x14ac:dyDescent="0.3">
      <c r="A169" s="5">
        <v>1066</v>
      </c>
      <c r="B169" s="5">
        <v>66</v>
      </c>
      <c r="C169" s="27">
        <f t="shared" si="20"/>
        <v>3.3000000000000002E-2</v>
      </c>
      <c r="D169" s="27">
        <f t="shared" si="21"/>
        <v>6.6000000000000003E-2</v>
      </c>
      <c r="E169" s="27">
        <f t="shared" si="22"/>
        <v>0.13200000000000001</v>
      </c>
      <c r="F169" s="27">
        <f t="shared" si="23"/>
        <v>0.26400000000000001</v>
      </c>
      <c r="G169" s="27">
        <f t="shared" si="24"/>
        <v>0.33</v>
      </c>
      <c r="H169" s="27">
        <f t="shared" si="25"/>
        <v>0.66</v>
      </c>
      <c r="I169" s="27">
        <f t="shared" si="26"/>
        <v>1.32</v>
      </c>
      <c r="J169" s="27">
        <f t="shared" si="27"/>
        <v>2.64</v>
      </c>
      <c r="K169" s="27">
        <f t="shared" si="28"/>
        <v>3.3000000000000003</v>
      </c>
      <c r="L169" s="27">
        <f t="shared" si="29"/>
        <v>33</v>
      </c>
      <c r="M169" s="28"/>
    </row>
    <row r="170" spans="1:13" ht="15" customHeight="1" x14ac:dyDescent="0.3">
      <c r="A170" s="5">
        <v>1067</v>
      </c>
      <c r="B170" s="5">
        <v>67</v>
      </c>
      <c r="C170" s="27">
        <f t="shared" si="20"/>
        <v>3.3500000000000002E-2</v>
      </c>
      <c r="D170" s="27">
        <f t="shared" si="21"/>
        <v>6.7000000000000004E-2</v>
      </c>
      <c r="E170" s="27">
        <f t="shared" si="22"/>
        <v>0.13400000000000001</v>
      </c>
      <c r="F170" s="27">
        <f t="shared" si="23"/>
        <v>0.26800000000000002</v>
      </c>
      <c r="G170" s="27">
        <f t="shared" si="24"/>
        <v>0.33500000000000002</v>
      </c>
      <c r="H170" s="27">
        <f t="shared" si="25"/>
        <v>0.67</v>
      </c>
      <c r="I170" s="27">
        <f t="shared" si="26"/>
        <v>1.34</v>
      </c>
      <c r="J170" s="27">
        <f t="shared" si="27"/>
        <v>2.68</v>
      </c>
      <c r="K170" s="27">
        <f t="shared" si="28"/>
        <v>3.35</v>
      </c>
      <c r="L170" s="27">
        <f t="shared" si="29"/>
        <v>33.5</v>
      </c>
      <c r="M170" s="28"/>
    </row>
    <row r="171" spans="1:13" ht="15" customHeight="1" x14ac:dyDescent="0.3">
      <c r="A171" s="5">
        <v>1068</v>
      </c>
      <c r="B171" s="5">
        <v>68</v>
      </c>
      <c r="C171" s="27">
        <f t="shared" si="20"/>
        <v>3.4000000000000002E-2</v>
      </c>
      <c r="D171" s="27">
        <f t="shared" si="21"/>
        <v>6.8000000000000005E-2</v>
      </c>
      <c r="E171" s="27">
        <f t="shared" si="22"/>
        <v>0.13600000000000001</v>
      </c>
      <c r="F171" s="27">
        <f t="shared" si="23"/>
        <v>0.27200000000000002</v>
      </c>
      <c r="G171" s="27">
        <f t="shared" si="24"/>
        <v>0.34</v>
      </c>
      <c r="H171" s="27">
        <f t="shared" si="25"/>
        <v>0.68</v>
      </c>
      <c r="I171" s="27">
        <f t="shared" si="26"/>
        <v>1.36</v>
      </c>
      <c r="J171" s="27">
        <f t="shared" si="27"/>
        <v>2.72</v>
      </c>
      <c r="K171" s="27">
        <f t="shared" si="28"/>
        <v>3.4000000000000004</v>
      </c>
      <c r="L171" s="27">
        <f t="shared" si="29"/>
        <v>34</v>
      </c>
      <c r="M171" s="28"/>
    </row>
    <row r="172" spans="1:13" ht="15" customHeight="1" x14ac:dyDescent="0.3">
      <c r="A172" s="5">
        <v>1069</v>
      </c>
      <c r="B172" s="5">
        <v>69</v>
      </c>
      <c r="C172" s="27">
        <f t="shared" si="20"/>
        <v>3.4500000000000003E-2</v>
      </c>
      <c r="D172" s="27">
        <f t="shared" si="21"/>
        <v>6.9000000000000006E-2</v>
      </c>
      <c r="E172" s="27">
        <f t="shared" si="22"/>
        <v>0.13800000000000001</v>
      </c>
      <c r="F172" s="27">
        <f t="shared" si="23"/>
        <v>0.27600000000000002</v>
      </c>
      <c r="G172" s="27">
        <f t="shared" si="24"/>
        <v>0.34500000000000003</v>
      </c>
      <c r="H172" s="27">
        <f t="shared" si="25"/>
        <v>0.69000000000000006</v>
      </c>
      <c r="I172" s="27">
        <f t="shared" si="26"/>
        <v>1.3800000000000001</v>
      </c>
      <c r="J172" s="27">
        <f t="shared" si="27"/>
        <v>2.7600000000000002</v>
      </c>
      <c r="K172" s="27">
        <f t="shared" si="28"/>
        <v>3.45</v>
      </c>
      <c r="L172" s="27">
        <f t="shared" si="29"/>
        <v>34.5</v>
      </c>
      <c r="M172" s="28"/>
    </row>
    <row r="173" spans="1:13" ht="15" customHeight="1" x14ac:dyDescent="0.3">
      <c r="A173" s="9">
        <v>1070</v>
      </c>
      <c r="B173" s="5">
        <v>70</v>
      </c>
      <c r="C173" s="15">
        <f t="shared" si="20"/>
        <v>3.5000000000000003E-2</v>
      </c>
      <c r="D173" s="15">
        <f t="shared" si="21"/>
        <v>7.0000000000000007E-2</v>
      </c>
      <c r="E173" s="15">
        <f t="shared" si="22"/>
        <v>0.14000000000000001</v>
      </c>
      <c r="F173" s="15">
        <f t="shared" si="23"/>
        <v>0.28000000000000003</v>
      </c>
      <c r="G173" s="15">
        <f t="shared" si="24"/>
        <v>0.35000000000000003</v>
      </c>
      <c r="H173" s="15">
        <f t="shared" si="25"/>
        <v>0.70000000000000007</v>
      </c>
      <c r="I173" s="15">
        <f t="shared" si="26"/>
        <v>1.4000000000000001</v>
      </c>
      <c r="J173" s="15">
        <f t="shared" si="27"/>
        <v>2.8000000000000003</v>
      </c>
      <c r="K173" s="15">
        <f t="shared" si="28"/>
        <v>3.5000000000000004</v>
      </c>
      <c r="L173" s="15">
        <f t="shared" si="29"/>
        <v>35</v>
      </c>
      <c r="M173" s="28"/>
    </row>
    <row r="174" spans="1:13" ht="15" customHeight="1" x14ac:dyDescent="0.3">
      <c r="A174" s="5">
        <v>1071</v>
      </c>
      <c r="B174" s="5">
        <v>71</v>
      </c>
      <c r="C174" s="27">
        <f t="shared" si="20"/>
        <v>3.5499999999999997E-2</v>
      </c>
      <c r="D174" s="27">
        <f t="shared" si="21"/>
        <v>7.0999999999999994E-2</v>
      </c>
      <c r="E174" s="27">
        <f t="shared" si="22"/>
        <v>0.14199999999999999</v>
      </c>
      <c r="F174" s="27">
        <f t="shared" si="23"/>
        <v>0.28399999999999997</v>
      </c>
      <c r="G174" s="27">
        <f t="shared" si="24"/>
        <v>0.35499999999999998</v>
      </c>
      <c r="H174" s="27">
        <f t="shared" si="25"/>
        <v>0.71</v>
      </c>
      <c r="I174" s="27">
        <f t="shared" si="26"/>
        <v>1.42</v>
      </c>
      <c r="J174" s="27">
        <f t="shared" si="27"/>
        <v>2.84</v>
      </c>
      <c r="K174" s="27">
        <f t="shared" si="28"/>
        <v>3.55</v>
      </c>
      <c r="L174" s="27">
        <f t="shared" si="29"/>
        <v>35.5</v>
      </c>
      <c r="M174" s="28"/>
    </row>
    <row r="175" spans="1:13" ht="15" customHeight="1" x14ac:dyDescent="0.3">
      <c r="A175" s="5">
        <v>1072</v>
      </c>
      <c r="B175" s="5">
        <v>72</v>
      </c>
      <c r="C175" s="27">
        <f t="shared" si="20"/>
        <v>3.5999999999999997E-2</v>
      </c>
      <c r="D175" s="27">
        <f t="shared" si="21"/>
        <v>7.1999999999999995E-2</v>
      </c>
      <c r="E175" s="27">
        <f t="shared" si="22"/>
        <v>0.14399999999999999</v>
      </c>
      <c r="F175" s="27">
        <f t="shared" si="23"/>
        <v>0.28799999999999998</v>
      </c>
      <c r="G175" s="27">
        <f t="shared" si="24"/>
        <v>0.36</v>
      </c>
      <c r="H175" s="27">
        <f t="shared" si="25"/>
        <v>0.72</v>
      </c>
      <c r="I175" s="27">
        <f t="shared" si="26"/>
        <v>1.44</v>
      </c>
      <c r="J175" s="27">
        <f t="shared" si="27"/>
        <v>2.88</v>
      </c>
      <c r="K175" s="27">
        <f t="shared" si="28"/>
        <v>3.5999999999999996</v>
      </c>
      <c r="L175" s="27">
        <f t="shared" si="29"/>
        <v>36</v>
      </c>
      <c r="M175" s="28"/>
    </row>
    <row r="176" spans="1:13" ht="15" customHeight="1" x14ac:dyDescent="0.3">
      <c r="A176" s="5">
        <v>1073</v>
      </c>
      <c r="B176" s="5">
        <v>73</v>
      </c>
      <c r="C176" s="27">
        <f t="shared" si="20"/>
        <v>3.6499999999999998E-2</v>
      </c>
      <c r="D176" s="27">
        <f t="shared" si="21"/>
        <v>7.2999999999999995E-2</v>
      </c>
      <c r="E176" s="27">
        <f t="shared" si="22"/>
        <v>0.14599999999999999</v>
      </c>
      <c r="F176" s="27">
        <f t="shared" si="23"/>
        <v>0.29199999999999998</v>
      </c>
      <c r="G176" s="27">
        <f t="shared" si="24"/>
        <v>0.36499999999999999</v>
      </c>
      <c r="H176" s="27">
        <f t="shared" si="25"/>
        <v>0.73</v>
      </c>
      <c r="I176" s="27">
        <f t="shared" si="26"/>
        <v>1.46</v>
      </c>
      <c r="J176" s="27">
        <f t="shared" si="27"/>
        <v>2.92</v>
      </c>
      <c r="K176" s="27">
        <f t="shared" si="28"/>
        <v>3.65</v>
      </c>
      <c r="L176" s="27">
        <f t="shared" si="29"/>
        <v>36.5</v>
      </c>
      <c r="M176" s="28"/>
    </row>
    <row r="177" spans="1:13" ht="15" customHeight="1" x14ac:dyDescent="0.3">
      <c r="A177" s="5">
        <v>1074</v>
      </c>
      <c r="B177" s="5">
        <v>74</v>
      </c>
      <c r="C177" s="27">
        <f t="shared" si="20"/>
        <v>3.6999999999999998E-2</v>
      </c>
      <c r="D177" s="27">
        <f t="shared" si="21"/>
        <v>7.3999999999999996E-2</v>
      </c>
      <c r="E177" s="27">
        <f t="shared" si="22"/>
        <v>0.14799999999999999</v>
      </c>
      <c r="F177" s="27">
        <f t="shared" si="23"/>
        <v>0.29599999999999999</v>
      </c>
      <c r="G177" s="27">
        <f t="shared" si="24"/>
        <v>0.37</v>
      </c>
      <c r="H177" s="27">
        <f t="shared" si="25"/>
        <v>0.74</v>
      </c>
      <c r="I177" s="27">
        <f t="shared" si="26"/>
        <v>1.48</v>
      </c>
      <c r="J177" s="27">
        <f t="shared" si="27"/>
        <v>2.96</v>
      </c>
      <c r="K177" s="27">
        <f t="shared" si="28"/>
        <v>3.6999999999999997</v>
      </c>
      <c r="L177" s="27">
        <f t="shared" si="29"/>
        <v>37</v>
      </c>
      <c r="M177" s="28"/>
    </row>
    <row r="178" spans="1:13" ht="15" customHeight="1" x14ac:dyDescent="0.3">
      <c r="A178" s="5">
        <v>1075</v>
      </c>
      <c r="B178" s="5">
        <v>75</v>
      </c>
      <c r="C178" s="27">
        <f t="shared" si="20"/>
        <v>3.7499999999999999E-2</v>
      </c>
      <c r="D178" s="27">
        <f t="shared" si="21"/>
        <v>7.4999999999999997E-2</v>
      </c>
      <c r="E178" s="27">
        <f t="shared" si="22"/>
        <v>0.15</v>
      </c>
      <c r="F178" s="27">
        <f t="shared" si="23"/>
        <v>0.3</v>
      </c>
      <c r="G178" s="27">
        <f t="shared" si="24"/>
        <v>0.375</v>
      </c>
      <c r="H178" s="27">
        <f t="shared" si="25"/>
        <v>0.75</v>
      </c>
      <c r="I178" s="27">
        <f t="shared" si="26"/>
        <v>1.5</v>
      </c>
      <c r="J178" s="27">
        <f t="shared" si="27"/>
        <v>3</v>
      </c>
      <c r="K178" s="27">
        <f t="shared" si="28"/>
        <v>3.75</v>
      </c>
      <c r="L178" s="27">
        <f t="shared" si="29"/>
        <v>37.5</v>
      </c>
      <c r="M178" s="28"/>
    </row>
    <row r="179" spans="1:13" ht="15" customHeight="1" x14ac:dyDescent="0.3">
      <c r="A179" s="5">
        <v>1076</v>
      </c>
      <c r="B179" s="5">
        <v>76</v>
      </c>
      <c r="C179" s="27">
        <f t="shared" si="20"/>
        <v>3.7999999999999999E-2</v>
      </c>
      <c r="D179" s="27">
        <f t="shared" si="21"/>
        <v>7.5999999999999998E-2</v>
      </c>
      <c r="E179" s="27">
        <f t="shared" si="22"/>
        <v>0.152</v>
      </c>
      <c r="F179" s="27">
        <f t="shared" si="23"/>
        <v>0.30399999999999999</v>
      </c>
      <c r="G179" s="27">
        <f t="shared" si="24"/>
        <v>0.38</v>
      </c>
      <c r="H179" s="27">
        <f t="shared" si="25"/>
        <v>0.76</v>
      </c>
      <c r="I179" s="27">
        <f t="shared" si="26"/>
        <v>1.52</v>
      </c>
      <c r="J179" s="27">
        <f t="shared" si="27"/>
        <v>3.04</v>
      </c>
      <c r="K179" s="27">
        <f t="shared" si="28"/>
        <v>3.8</v>
      </c>
      <c r="L179" s="27">
        <f t="shared" si="29"/>
        <v>38</v>
      </c>
      <c r="M179" s="28"/>
    </row>
    <row r="180" spans="1:13" ht="15" customHeight="1" x14ac:dyDescent="0.3">
      <c r="A180" s="5">
        <v>1077</v>
      </c>
      <c r="B180" s="5">
        <v>77</v>
      </c>
      <c r="C180" s="27">
        <f t="shared" si="20"/>
        <v>3.85E-2</v>
      </c>
      <c r="D180" s="27">
        <f t="shared" si="21"/>
        <v>7.6999999999999999E-2</v>
      </c>
      <c r="E180" s="27">
        <f t="shared" si="22"/>
        <v>0.154</v>
      </c>
      <c r="F180" s="27">
        <f t="shared" si="23"/>
        <v>0.308</v>
      </c>
      <c r="G180" s="27">
        <f t="shared" si="24"/>
        <v>0.38500000000000001</v>
      </c>
      <c r="H180" s="27">
        <f t="shared" si="25"/>
        <v>0.77</v>
      </c>
      <c r="I180" s="27">
        <f t="shared" si="26"/>
        <v>1.54</v>
      </c>
      <c r="J180" s="27">
        <f t="shared" si="27"/>
        <v>3.08</v>
      </c>
      <c r="K180" s="27">
        <f t="shared" si="28"/>
        <v>3.85</v>
      </c>
      <c r="L180" s="27">
        <f t="shared" si="29"/>
        <v>38.5</v>
      </c>
      <c r="M180" s="28"/>
    </row>
    <row r="181" spans="1:13" ht="15" customHeight="1" x14ac:dyDescent="0.3">
      <c r="A181" s="5">
        <v>1078</v>
      </c>
      <c r="B181" s="5">
        <v>78</v>
      </c>
      <c r="C181" s="27">
        <f t="shared" si="20"/>
        <v>3.9E-2</v>
      </c>
      <c r="D181" s="27">
        <f t="shared" si="21"/>
        <v>7.8E-2</v>
      </c>
      <c r="E181" s="27">
        <f t="shared" si="22"/>
        <v>0.156</v>
      </c>
      <c r="F181" s="27">
        <f t="shared" si="23"/>
        <v>0.312</v>
      </c>
      <c r="G181" s="27">
        <f t="shared" si="24"/>
        <v>0.39</v>
      </c>
      <c r="H181" s="27">
        <f t="shared" si="25"/>
        <v>0.78</v>
      </c>
      <c r="I181" s="27">
        <f t="shared" si="26"/>
        <v>1.56</v>
      </c>
      <c r="J181" s="27">
        <f t="shared" si="27"/>
        <v>3.12</v>
      </c>
      <c r="K181" s="27">
        <f t="shared" si="28"/>
        <v>3.9</v>
      </c>
      <c r="L181" s="27">
        <f t="shared" si="29"/>
        <v>39</v>
      </c>
      <c r="M181" s="28"/>
    </row>
    <row r="182" spans="1:13" ht="15" customHeight="1" x14ac:dyDescent="0.3">
      <c r="A182" s="5">
        <v>1079</v>
      </c>
      <c r="B182" s="5">
        <v>79</v>
      </c>
      <c r="C182" s="27">
        <f t="shared" si="20"/>
        <v>3.95E-2</v>
      </c>
      <c r="D182" s="27">
        <f t="shared" si="21"/>
        <v>7.9000000000000001E-2</v>
      </c>
      <c r="E182" s="27">
        <f t="shared" si="22"/>
        <v>0.158</v>
      </c>
      <c r="F182" s="27">
        <f t="shared" si="23"/>
        <v>0.316</v>
      </c>
      <c r="G182" s="27">
        <f t="shared" si="24"/>
        <v>0.39500000000000002</v>
      </c>
      <c r="H182" s="27">
        <f t="shared" si="25"/>
        <v>0.79</v>
      </c>
      <c r="I182" s="27">
        <f t="shared" si="26"/>
        <v>1.58</v>
      </c>
      <c r="J182" s="27">
        <f t="shared" si="27"/>
        <v>3.16</v>
      </c>
      <c r="K182" s="27">
        <f t="shared" si="28"/>
        <v>3.95</v>
      </c>
      <c r="L182" s="27">
        <f t="shared" si="29"/>
        <v>39.5</v>
      </c>
      <c r="M182" s="28"/>
    </row>
    <row r="183" spans="1:13" ht="15" customHeight="1" x14ac:dyDescent="0.3">
      <c r="A183" s="9">
        <v>1080</v>
      </c>
      <c r="B183" s="5">
        <v>80</v>
      </c>
      <c r="C183" s="15">
        <f t="shared" si="20"/>
        <v>0.04</v>
      </c>
      <c r="D183" s="15">
        <f t="shared" si="21"/>
        <v>0.08</v>
      </c>
      <c r="E183" s="15">
        <f t="shared" si="22"/>
        <v>0.16</v>
      </c>
      <c r="F183" s="15">
        <f t="shared" si="23"/>
        <v>0.32</v>
      </c>
      <c r="G183" s="15">
        <f t="shared" si="24"/>
        <v>0.4</v>
      </c>
      <c r="H183" s="15">
        <f t="shared" si="25"/>
        <v>0.8</v>
      </c>
      <c r="I183" s="15">
        <f t="shared" si="26"/>
        <v>1.6</v>
      </c>
      <c r="J183" s="15">
        <f t="shared" si="27"/>
        <v>3.2</v>
      </c>
      <c r="K183" s="15">
        <f t="shared" si="28"/>
        <v>4</v>
      </c>
      <c r="L183" s="15">
        <f t="shared" si="29"/>
        <v>40</v>
      </c>
      <c r="M183" s="28"/>
    </row>
    <row r="184" spans="1:13" ht="15" customHeight="1" x14ac:dyDescent="0.3">
      <c r="A184" s="5">
        <v>1081</v>
      </c>
      <c r="B184" s="5">
        <v>81</v>
      </c>
      <c r="C184" s="27">
        <f t="shared" si="20"/>
        <v>4.0500000000000001E-2</v>
      </c>
      <c r="D184" s="27">
        <f t="shared" si="21"/>
        <v>8.1000000000000003E-2</v>
      </c>
      <c r="E184" s="27">
        <f t="shared" si="22"/>
        <v>0.16200000000000001</v>
      </c>
      <c r="F184" s="27">
        <f t="shared" si="23"/>
        <v>0.32400000000000001</v>
      </c>
      <c r="G184" s="27">
        <f t="shared" si="24"/>
        <v>0.40500000000000003</v>
      </c>
      <c r="H184" s="27">
        <f t="shared" si="25"/>
        <v>0.81</v>
      </c>
      <c r="I184" s="27">
        <f t="shared" si="26"/>
        <v>1.62</v>
      </c>
      <c r="J184" s="27">
        <f t="shared" si="27"/>
        <v>3.24</v>
      </c>
      <c r="K184" s="27">
        <f t="shared" si="28"/>
        <v>4.05</v>
      </c>
      <c r="L184" s="27">
        <f t="shared" si="29"/>
        <v>40.5</v>
      </c>
      <c r="M184" s="28"/>
    </row>
    <row r="185" spans="1:13" ht="15" customHeight="1" x14ac:dyDescent="0.3">
      <c r="A185" s="5">
        <v>1082</v>
      </c>
      <c r="B185" s="5">
        <v>82</v>
      </c>
      <c r="C185" s="27">
        <f t="shared" si="20"/>
        <v>4.1000000000000002E-2</v>
      </c>
      <c r="D185" s="27">
        <f t="shared" si="21"/>
        <v>8.2000000000000003E-2</v>
      </c>
      <c r="E185" s="27">
        <f t="shared" si="22"/>
        <v>0.16400000000000001</v>
      </c>
      <c r="F185" s="27">
        <f t="shared" si="23"/>
        <v>0.32800000000000001</v>
      </c>
      <c r="G185" s="27">
        <f t="shared" si="24"/>
        <v>0.41000000000000003</v>
      </c>
      <c r="H185" s="27">
        <f t="shared" si="25"/>
        <v>0.82000000000000006</v>
      </c>
      <c r="I185" s="27">
        <f t="shared" si="26"/>
        <v>1.6400000000000001</v>
      </c>
      <c r="J185" s="27">
        <f t="shared" si="27"/>
        <v>3.2800000000000002</v>
      </c>
      <c r="K185" s="27">
        <f t="shared" si="28"/>
        <v>4.1000000000000005</v>
      </c>
      <c r="L185" s="27">
        <f t="shared" si="29"/>
        <v>41</v>
      </c>
      <c r="M185" s="28"/>
    </row>
    <row r="186" spans="1:13" ht="15" customHeight="1" x14ac:dyDescent="0.3">
      <c r="A186" s="5">
        <v>1083</v>
      </c>
      <c r="B186" s="5">
        <v>83</v>
      </c>
      <c r="C186" s="27">
        <f t="shared" si="20"/>
        <v>4.1500000000000002E-2</v>
      </c>
      <c r="D186" s="27">
        <f t="shared" si="21"/>
        <v>8.3000000000000004E-2</v>
      </c>
      <c r="E186" s="27">
        <f t="shared" si="22"/>
        <v>0.16600000000000001</v>
      </c>
      <c r="F186" s="27">
        <f t="shared" si="23"/>
        <v>0.33200000000000002</v>
      </c>
      <c r="G186" s="27">
        <f t="shared" si="24"/>
        <v>0.41500000000000004</v>
      </c>
      <c r="H186" s="27">
        <f t="shared" si="25"/>
        <v>0.83000000000000007</v>
      </c>
      <c r="I186" s="27">
        <f t="shared" si="26"/>
        <v>1.6600000000000001</v>
      </c>
      <c r="J186" s="27">
        <f t="shared" si="27"/>
        <v>3.3200000000000003</v>
      </c>
      <c r="K186" s="27">
        <f t="shared" si="28"/>
        <v>4.1500000000000004</v>
      </c>
      <c r="L186" s="27">
        <f t="shared" si="29"/>
        <v>41.5</v>
      </c>
      <c r="M186" s="28"/>
    </row>
    <row r="187" spans="1:13" ht="15" customHeight="1" x14ac:dyDescent="0.3">
      <c r="A187" s="5">
        <v>1084</v>
      </c>
      <c r="B187" s="5">
        <v>84</v>
      </c>
      <c r="C187" s="27">
        <f t="shared" si="20"/>
        <v>4.2000000000000003E-2</v>
      </c>
      <c r="D187" s="27">
        <f t="shared" si="21"/>
        <v>8.4000000000000005E-2</v>
      </c>
      <c r="E187" s="27">
        <f t="shared" si="22"/>
        <v>0.16800000000000001</v>
      </c>
      <c r="F187" s="27">
        <f t="shared" si="23"/>
        <v>0.33600000000000002</v>
      </c>
      <c r="G187" s="27">
        <f t="shared" si="24"/>
        <v>0.42000000000000004</v>
      </c>
      <c r="H187" s="27">
        <f t="shared" si="25"/>
        <v>0.84000000000000008</v>
      </c>
      <c r="I187" s="27">
        <f t="shared" si="26"/>
        <v>1.6800000000000002</v>
      </c>
      <c r="J187" s="27">
        <f t="shared" si="27"/>
        <v>3.3600000000000003</v>
      </c>
      <c r="K187" s="27">
        <f t="shared" si="28"/>
        <v>4.2</v>
      </c>
      <c r="L187" s="27">
        <f t="shared" si="29"/>
        <v>42</v>
      </c>
      <c r="M187" s="28"/>
    </row>
    <row r="188" spans="1:13" ht="15" customHeight="1" x14ac:dyDescent="0.3">
      <c r="A188" s="5">
        <v>1085</v>
      </c>
      <c r="B188" s="5">
        <v>85</v>
      </c>
      <c r="C188" s="27">
        <f t="shared" si="20"/>
        <v>4.2500000000000003E-2</v>
      </c>
      <c r="D188" s="27">
        <f t="shared" si="21"/>
        <v>8.5000000000000006E-2</v>
      </c>
      <c r="E188" s="27">
        <f t="shared" si="22"/>
        <v>0.17</v>
      </c>
      <c r="F188" s="27">
        <f t="shared" si="23"/>
        <v>0.34</v>
      </c>
      <c r="G188" s="27">
        <f t="shared" si="24"/>
        <v>0.42500000000000004</v>
      </c>
      <c r="H188" s="27">
        <f t="shared" si="25"/>
        <v>0.85000000000000009</v>
      </c>
      <c r="I188" s="27">
        <f t="shared" si="26"/>
        <v>1.7000000000000002</v>
      </c>
      <c r="J188" s="27">
        <f t="shared" si="27"/>
        <v>3.4000000000000004</v>
      </c>
      <c r="K188" s="27">
        <f t="shared" si="28"/>
        <v>4.25</v>
      </c>
      <c r="L188" s="27">
        <f t="shared" si="29"/>
        <v>42.5</v>
      </c>
      <c r="M188" s="28"/>
    </row>
    <row r="189" spans="1:13" ht="15" customHeight="1" x14ac:dyDescent="0.3">
      <c r="A189" s="5">
        <v>1086</v>
      </c>
      <c r="B189" s="5">
        <v>86</v>
      </c>
      <c r="C189" s="27">
        <f t="shared" si="20"/>
        <v>4.2999999999999997E-2</v>
      </c>
      <c r="D189" s="27">
        <f t="shared" si="21"/>
        <v>8.5999999999999993E-2</v>
      </c>
      <c r="E189" s="27">
        <f t="shared" si="22"/>
        <v>0.17199999999999999</v>
      </c>
      <c r="F189" s="27">
        <f t="shared" si="23"/>
        <v>0.34399999999999997</v>
      </c>
      <c r="G189" s="27">
        <f t="shared" si="24"/>
        <v>0.42999999999999994</v>
      </c>
      <c r="H189" s="27">
        <f t="shared" si="25"/>
        <v>0.85999999999999988</v>
      </c>
      <c r="I189" s="27">
        <f t="shared" si="26"/>
        <v>1.7199999999999998</v>
      </c>
      <c r="J189" s="27">
        <f t="shared" si="27"/>
        <v>3.4399999999999995</v>
      </c>
      <c r="K189" s="27">
        <f t="shared" si="28"/>
        <v>4.3</v>
      </c>
      <c r="L189" s="27">
        <f t="shared" si="29"/>
        <v>43</v>
      </c>
      <c r="M189" s="28"/>
    </row>
    <row r="190" spans="1:13" ht="15" customHeight="1" x14ac:dyDescent="0.3">
      <c r="A190" s="5">
        <v>1087</v>
      </c>
      <c r="B190" s="5">
        <v>87</v>
      </c>
      <c r="C190" s="27">
        <f t="shared" si="20"/>
        <v>4.3499999999999997E-2</v>
      </c>
      <c r="D190" s="27">
        <f t="shared" si="21"/>
        <v>8.6999999999999994E-2</v>
      </c>
      <c r="E190" s="27">
        <f t="shared" si="22"/>
        <v>0.17399999999999999</v>
      </c>
      <c r="F190" s="27">
        <f t="shared" si="23"/>
        <v>0.34799999999999998</v>
      </c>
      <c r="G190" s="27">
        <f t="shared" si="24"/>
        <v>0.43499999999999994</v>
      </c>
      <c r="H190" s="27">
        <f t="shared" si="25"/>
        <v>0.86999999999999988</v>
      </c>
      <c r="I190" s="27">
        <f t="shared" si="26"/>
        <v>1.7399999999999998</v>
      </c>
      <c r="J190" s="27">
        <f t="shared" si="27"/>
        <v>3.4799999999999995</v>
      </c>
      <c r="K190" s="27">
        <f t="shared" si="28"/>
        <v>4.3499999999999996</v>
      </c>
      <c r="L190" s="27">
        <f t="shared" si="29"/>
        <v>43.5</v>
      </c>
      <c r="M190" s="28"/>
    </row>
    <row r="191" spans="1:13" ht="15" customHeight="1" x14ac:dyDescent="0.3">
      <c r="A191" s="5">
        <v>1088</v>
      </c>
      <c r="B191" s="5">
        <v>88</v>
      </c>
      <c r="C191" s="27">
        <f t="shared" si="20"/>
        <v>4.3999999999999997E-2</v>
      </c>
      <c r="D191" s="27">
        <f t="shared" si="21"/>
        <v>8.7999999999999995E-2</v>
      </c>
      <c r="E191" s="27">
        <f t="shared" si="22"/>
        <v>0.17599999999999999</v>
      </c>
      <c r="F191" s="27">
        <f t="shared" si="23"/>
        <v>0.35199999999999998</v>
      </c>
      <c r="G191" s="27">
        <f t="shared" si="24"/>
        <v>0.43999999999999995</v>
      </c>
      <c r="H191" s="27">
        <f t="shared" si="25"/>
        <v>0.87999999999999989</v>
      </c>
      <c r="I191" s="27">
        <f t="shared" si="26"/>
        <v>1.7599999999999998</v>
      </c>
      <c r="J191" s="27">
        <f t="shared" si="27"/>
        <v>3.5199999999999996</v>
      </c>
      <c r="K191" s="27">
        <f t="shared" si="28"/>
        <v>4.3999999999999995</v>
      </c>
      <c r="L191" s="27">
        <f t="shared" si="29"/>
        <v>44</v>
      </c>
      <c r="M191" s="28"/>
    </row>
    <row r="192" spans="1:13" ht="15" customHeight="1" x14ac:dyDescent="0.3">
      <c r="A192" s="5">
        <v>1089</v>
      </c>
      <c r="B192" s="5">
        <v>89</v>
      </c>
      <c r="C192" s="27">
        <f t="shared" si="20"/>
        <v>4.4499999999999998E-2</v>
      </c>
      <c r="D192" s="27">
        <f t="shared" si="21"/>
        <v>8.8999999999999996E-2</v>
      </c>
      <c r="E192" s="27">
        <f t="shared" si="22"/>
        <v>0.17799999999999999</v>
      </c>
      <c r="F192" s="27">
        <f t="shared" si="23"/>
        <v>0.35599999999999998</v>
      </c>
      <c r="G192" s="27">
        <f t="shared" si="24"/>
        <v>0.44499999999999995</v>
      </c>
      <c r="H192" s="27">
        <f t="shared" si="25"/>
        <v>0.8899999999999999</v>
      </c>
      <c r="I192" s="27">
        <f t="shared" si="26"/>
        <v>1.7799999999999998</v>
      </c>
      <c r="J192" s="27">
        <f t="shared" si="27"/>
        <v>3.5599999999999996</v>
      </c>
      <c r="K192" s="27">
        <f t="shared" si="28"/>
        <v>4.45</v>
      </c>
      <c r="L192" s="27">
        <f t="shared" si="29"/>
        <v>44.5</v>
      </c>
      <c r="M192" s="28"/>
    </row>
    <row r="193" spans="1:13" ht="15" customHeight="1" x14ac:dyDescent="0.3">
      <c r="A193" s="9">
        <v>1090</v>
      </c>
      <c r="B193" s="5">
        <v>90</v>
      </c>
      <c r="C193" s="15">
        <f t="shared" si="20"/>
        <v>4.4999999999999998E-2</v>
      </c>
      <c r="D193" s="15">
        <f t="shared" si="21"/>
        <v>0.09</v>
      </c>
      <c r="E193" s="15">
        <f t="shared" si="22"/>
        <v>0.18</v>
      </c>
      <c r="F193" s="15">
        <f t="shared" si="23"/>
        <v>0.36</v>
      </c>
      <c r="G193" s="15">
        <f t="shared" si="24"/>
        <v>0.44999999999999996</v>
      </c>
      <c r="H193" s="15">
        <f t="shared" si="25"/>
        <v>0.89999999999999991</v>
      </c>
      <c r="I193" s="15">
        <f t="shared" si="26"/>
        <v>1.7999999999999998</v>
      </c>
      <c r="J193" s="15">
        <f t="shared" si="27"/>
        <v>3.5999999999999996</v>
      </c>
      <c r="K193" s="15">
        <f t="shared" si="28"/>
        <v>4.5</v>
      </c>
      <c r="L193" s="15">
        <f t="shared" si="29"/>
        <v>45</v>
      </c>
      <c r="M193" s="28"/>
    </row>
    <row r="194" spans="1:13" ht="15" customHeight="1" x14ac:dyDescent="0.3">
      <c r="A194" s="5">
        <v>1091</v>
      </c>
      <c r="B194" s="5">
        <v>91</v>
      </c>
      <c r="C194" s="27">
        <f t="shared" si="20"/>
        <v>4.5499999999999999E-2</v>
      </c>
      <c r="D194" s="27">
        <f t="shared" si="21"/>
        <v>9.0999999999999998E-2</v>
      </c>
      <c r="E194" s="27">
        <f t="shared" si="22"/>
        <v>0.182</v>
      </c>
      <c r="F194" s="27">
        <f t="shared" si="23"/>
        <v>0.36399999999999999</v>
      </c>
      <c r="G194" s="27">
        <f t="shared" si="24"/>
        <v>0.45499999999999996</v>
      </c>
      <c r="H194" s="27">
        <f t="shared" si="25"/>
        <v>0.90999999999999992</v>
      </c>
      <c r="I194" s="27">
        <f t="shared" si="26"/>
        <v>1.8199999999999998</v>
      </c>
      <c r="J194" s="27">
        <f t="shared" si="27"/>
        <v>3.6399999999999997</v>
      </c>
      <c r="K194" s="27">
        <f t="shared" si="28"/>
        <v>4.55</v>
      </c>
      <c r="L194" s="27">
        <f t="shared" si="29"/>
        <v>45.5</v>
      </c>
      <c r="M194" s="28"/>
    </row>
    <row r="195" spans="1:13" ht="15" customHeight="1" x14ac:dyDescent="0.3">
      <c r="A195" s="5">
        <v>1092</v>
      </c>
      <c r="B195" s="5">
        <v>92</v>
      </c>
      <c r="C195" s="27">
        <f t="shared" si="20"/>
        <v>4.5999999999999999E-2</v>
      </c>
      <c r="D195" s="27">
        <f t="shared" si="21"/>
        <v>9.1999999999999998E-2</v>
      </c>
      <c r="E195" s="27">
        <f t="shared" si="22"/>
        <v>0.184</v>
      </c>
      <c r="F195" s="27">
        <f t="shared" si="23"/>
        <v>0.36799999999999999</v>
      </c>
      <c r="G195" s="27">
        <f t="shared" si="24"/>
        <v>0.45999999999999996</v>
      </c>
      <c r="H195" s="27">
        <f t="shared" si="25"/>
        <v>0.91999999999999993</v>
      </c>
      <c r="I195" s="27">
        <f t="shared" si="26"/>
        <v>1.8399999999999999</v>
      </c>
      <c r="J195" s="27">
        <f t="shared" si="27"/>
        <v>3.6799999999999997</v>
      </c>
      <c r="K195" s="27">
        <f t="shared" si="28"/>
        <v>4.5999999999999996</v>
      </c>
      <c r="L195" s="27">
        <f t="shared" si="29"/>
        <v>46</v>
      </c>
      <c r="M195" s="28"/>
    </row>
    <row r="196" spans="1:13" ht="15" customHeight="1" x14ac:dyDescent="0.3">
      <c r="A196" s="5">
        <v>1093</v>
      </c>
      <c r="B196" s="5">
        <v>93</v>
      </c>
      <c r="C196" s="27">
        <f t="shared" ref="C196:C213" si="30">(1/2)*(B196/1000)*1</f>
        <v>4.65E-2</v>
      </c>
      <c r="D196" s="27">
        <f t="shared" ref="D196:D213" si="31">C196*2</f>
        <v>9.2999999999999999E-2</v>
      </c>
      <c r="E196" s="27">
        <f t="shared" ref="E196:E213" si="32">C196*4</f>
        <v>0.186</v>
      </c>
      <c r="F196" s="27">
        <f t="shared" ref="F196:F213" si="33">C196*8</f>
        <v>0.372</v>
      </c>
      <c r="G196" s="27">
        <f t="shared" ref="G196:G213" si="34">C196*10</f>
        <v>0.46499999999999997</v>
      </c>
      <c r="H196" s="27">
        <f t="shared" ref="H196:H213" si="35">C196*20</f>
        <v>0.92999999999999994</v>
      </c>
      <c r="I196" s="27">
        <f t="shared" ref="I196:I213" si="36">C196*40</f>
        <v>1.8599999999999999</v>
      </c>
      <c r="J196" s="27">
        <f t="shared" ref="J196:J213" si="37">C196*80</f>
        <v>3.7199999999999998</v>
      </c>
      <c r="K196" s="27">
        <f t="shared" ref="K196:K213" si="38">C196*100</f>
        <v>4.6500000000000004</v>
      </c>
      <c r="L196" s="27">
        <f t="shared" ref="L196:L213" si="39">C196*1000</f>
        <v>46.5</v>
      </c>
      <c r="M196" s="28"/>
    </row>
    <row r="197" spans="1:13" ht="15" customHeight="1" x14ac:dyDescent="0.3">
      <c r="A197" s="5">
        <v>1094</v>
      </c>
      <c r="B197" s="5">
        <v>94</v>
      </c>
      <c r="C197" s="27">
        <f t="shared" si="30"/>
        <v>4.7E-2</v>
      </c>
      <c r="D197" s="27">
        <f t="shared" si="31"/>
        <v>9.4E-2</v>
      </c>
      <c r="E197" s="27">
        <f t="shared" si="32"/>
        <v>0.188</v>
      </c>
      <c r="F197" s="27">
        <f t="shared" si="33"/>
        <v>0.376</v>
      </c>
      <c r="G197" s="27">
        <f t="shared" si="34"/>
        <v>0.47</v>
      </c>
      <c r="H197" s="27">
        <f t="shared" si="35"/>
        <v>0.94</v>
      </c>
      <c r="I197" s="27">
        <f t="shared" si="36"/>
        <v>1.88</v>
      </c>
      <c r="J197" s="27">
        <f t="shared" si="37"/>
        <v>3.76</v>
      </c>
      <c r="K197" s="27">
        <f t="shared" si="38"/>
        <v>4.7</v>
      </c>
      <c r="L197" s="27">
        <f t="shared" si="39"/>
        <v>47</v>
      </c>
      <c r="M197" s="28"/>
    </row>
    <row r="198" spans="1:13" ht="15" customHeight="1" x14ac:dyDescent="0.3">
      <c r="A198" s="5">
        <v>1095</v>
      </c>
      <c r="B198" s="5">
        <v>95</v>
      </c>
      <c r="C198" s="27">
        <f t="shared" si="30"/>
        <v>4.7500000000000001E-2</v>
      </c>
      <c r="D198" s="27">
        <f t="shared" si="31"/>
        <v>9.5000000000000001E-2</v>
      </c>
      <c r="E198" s="27">
        <f t="shared" si="32"/>
        <v>0.19</v>
      </c>
      <c r="F198" s="27">
        <f t="shared" si="33"/>
        <v>0.38</v>
      </c>
      <c r="G198" s="27">
        <f t="shared" si="34"/>
        <v>0.47499999999999998</v>
      </c>
      <c r="H198" s="27">
        <f t="shared" si="35"/>
        <v>0.95</v>
      </c>
      <c r="I198" s="27">
        <f t="shared" si="36"/>
        <v>1.9</v>
      </c>
      <c r="J198" s="27">
        <f t="shared" si="37"/>
        <v>3.8</v>
      </c>
      <c r="K198" s="27">
        <f t="shared" si="38"/>
        <v>4.75</v>
      </c>
      <c r="L198" s="27">
        <f t="shared" si="39"/>
        <v>47.5</v>
      </c>
      <c r="M198" s="28"/>
    </row>
    <row r="199" spans="1:13" ht="15" customHeight="1" x14ac:dyDescent="0.3">
      <c r="A199" s="5">
        <v>1096</v>
      </c>
      <c r="B199" s="5">
        <v>96</v>
      </c>
      <c r="C199" s="27">
        <f t="shared" si="30"/>
        <v>4.8000000000000001E-2</v>
      </c>
      <c r="D199" s="27">
        <f t="shared" si="31"/>
        <v>9.6000000000000002E-2</v>
      </c>
      <c r="E199" s="27">
        <f t="shared" si="32"/>
        <v>0.192</v>
      </c>
      <c r="F199" s="27">
        <f t="shared" si="33"/>
        <v>0.38400000000000001</v>
      </c>
      <c r="G199" s="27">
        <f t="shared" si="34"/>
        <v>0.48</v>
      </c>
      <c r="H199" s="27">
        <f t="shared" si="35"/>
        <v>0.96</v>
      </c>
      <c r="I199" s="27">
        <f t="shared" si="36"/>
        <v>1.92</v>
      </c>
      <c r="J199" s="27">
        <f t="shared" si="37"/>
        <v>3.84</v>
      </c>
      <c r="K199" s="27">
        <f t="shared" si="38"/>
        <v>4.8</v>
      </c>
      <c r="L199" s="27">
        <f t="shared" si="39"/>
        <v>48</v>
      </c>
      <c r="M199" s="28"/>
    </row>
    <row r="200" spans="1:13" ht="15" customHeight="1" x14ac:dyDescent="0.3">
      <c r="A200" s="5">
        <v>1097</v>
      </c>
      <c r="B200" s="5">
        <v>97</v>
      </c>
      <c r="C200" s="27">
        <f t="shared" si="30"/>
        <v>4.8500000000000001E-2</v>
      </c>
      <c r="D200" s="27">
        <f t="shared" si="31"/>
        <v>9.7000000000000003E-2</v>
      </c>
      <c r="E200" s="27">
        <f t="shared" si="32"/>
        <v>0.19400000000000001</v>
      </c>
      <c r="F200" s="27">
        <f t="shared" si="33"/>
        <v>0.38800000000000001</v>
      </c>
      <c r="G200" s="27">
        <f t="shared" si="34"/>
        <v>0.48499999999999999</v>
      </c>
      <c r="H200" s="27">
        <f t="shared" si="35"/>
        <v>0.97</v>
      </c>
      <c r="I200" s="27">
        <f t="shared" si="36"/>
        <v>1.94</v>
      </c>
      <c r="J200" s="27">
        <f t="shared" si="37"/>
        <v>3.88</v>
      </c>
      <c r="K200" s="27">
        <f t="shared" si="38"/>
        <v>4.8500000000000005</v>
      </c>
      <c r="L200" s="27">
        <f t="shared" si="39"/>
        <v>48.5</v>
      </c>
      <c r="M200" s="28"/>
    </row>
    <row r="201" spans="1:13" ht="15" customHeight="1" x14ac:dyDescent="0.3">
      <c r="A201" s="5">
        <v>1098</v>
      </c>
      <c r="B201" s="5">
        <v>98</v>
      </c>
      <c r="C201" s="27">
        <f t="shared" si="30"/>
        <v>4.9000000000000002E-2</v>
      </c>
      <c r="D201" s="27">
        <f t="shared" si="31"/>
        <v>9.8000000000000004E-2</v>
      </c>
      <c r="E201" s="27">
        <f t="shared" si="32"/>
        <v>0.19600000000000001</v>
      </c>
      <c r="F201" s="27">
        <f t="shared" si="33"/>
        <v>0.39200000000000002</v>
      </c>
      <c r="G201" s="27">
        <f t="shared" si="34"/>
        <v>0.49</v>
      </c>
      <c r="H201" s="27">
        <f t="shared" si="35"/>
        <v>0.98</v>
      </c>
      <c r="I201" s="27">
        <f t="shared" si="36"/>
        <v>1.96</v>
      </c>
      <c r="J201" s="27">
        <f t="shared" si="37"/>
        <v>3.92</v>
      </c>
      <c r="K201" s="27">
        <f t="shared" si="38"/>
        <v>4.9000000000000004</v>
      </c>
      <c r="L201" s="27">
        <f t="shared" si="39"/>
        <v>49</v>
      </c>
      <c r="M201" s="28"/>
    </row>
    <row r="202" spans="1:13" ht="15" customHeight="1" x14ac:dyDescent="0.3">
      <c r="A202" s="5">
        <v>1099</v>
      </c>
      <c r="B202" s="5">
        <v>99</v>
      </c>
      <c r="C202" s="27">
        <f t="shared" si="30"/>
        <v>4.9500000000000002E-2</v>
      </c>
      <c r="D202" s="27">
        <f t="shared" si="31"/>
        <v>9.9000000000000005E-2</v>
      </c>
      <c r="E202" s="27">
        <f t="shared" si="32"/>
        <v>0.19800000000000001</v>
      </c>
      <c r="F202" s="27">
        <f t="shared" si="33"/>
        <v>0.39600000000000002</v>
      </c>
      <c r="G202" s="27">
        <f t="shared" si="34"/>
        <v>0.495</v>
      </c>
      <c r="H202" s="27">
        <f t="shared" si="35"/>
        <v>0.99</v>
      </c>
      <c r="I202" s="27">
        <f t="shared" si="36"/>
        <v>1.98</v>
      </c>
      <c r="J202" s="27">
        <f t="shared" si="37"/>
        <v>3.96</v>
      </c>
      <c r="K202" s="27">
        <f t="shared" si="38"/>
        <v>4.95</v>
      </c>
      <c r="L202" s="27">
        <f t="shared" si="39"/>
        <v>49.5</v>
      </c>
      <c r="M202" s="28"/>
    </row>
    <row r="203" spans="1:13" ht="15" customHeight="1" x14ac:dyDescent="0.3">
      <c r="A203" s="9">
        <v>1100</v>
      </c>
      <c r="B203" s="5">
        <v>100</v>
      </c>
      <c r="C203" s="15">
        <f t="shared" si="30"/>
        <v>0.05</v>
      </c>
      <c r="D203" s="15">
        <f t="shared" si="31"/>
        <v>0.1</v>
      </c>
      <c r="E203" s="15">
        <f t="shared" si="32"/>
        <v>0.2</v>
      </c>
      <c r="F203" s="15">
        <f t="shared" si="33"/>
        <v>0.4</v>
      </c>
      <c r="G203" s="15">
        <f t="shared" si="34"/>
        <v>0.5</v>
      </c>
      <c r="H203" s="15">
        <f t="shared" si="35"/>
        <v>1</v>
      </c>
      <c r="I203" s="15">
        <f t="shared" si="36"/>
        <v>2</v>
      </c>
      <c r="J203" s="15">
        <f t="shared" si="37"/>
        <v>4</v>
      </c>
      <c r="K203" s="15">
        <f t="shared" si="38"/>
        <v>5</v>
      </c>
      <c r="L203" s="15">
        <f t="shared" si="39"/>
        <v>50</v>
      </c>
      <c r="M203" s="28"/>
    </row>
    <row r="204" spans="1:13" ht="15" customHeight="1" x14ac:dyDescent="0.3">
      <c r="A204" s="5">
        <v>1101</v>
      </c>
      <c r="B204" s="5">
        <v>101</v>
      </c>
      <c r="C204" s="27">
        <f t="shared" si="30"/>
        <v>5.0500000000000003E-2</v>
      </c>
      <c r="D204" s="27">
        <f t="shared" si="31"/>
        <v>0.10100000000000001</v>
      </c>
      <c r="E204" s="27">
        <f t="shared" si="32"/>
        <v>0.20200000000000001</v>
      </c>
      <c r="F204" s="27">
        <f t="shared" si="33"/>
        <v>0.40400000000000003</v>
      </c>
      <c r="G204" s="27">
        <f t="shared" si="34"/>
        <v>0.505</v>
      </c>
      <c r="H204" s="27">
        <f t="shared" si="35"/>
        <v>1.01</v>
      </c>
      <c r="I204" s="27">
        <f t="shared" si="36"/>
        <v>2.02</v>
      </c>
      <c r="J204" s="27">
        <f t="shared" si="37"/>
        <v>4.04</v>
      </c>
      <c r="K204" s="27">
        <f t="shared" si="38"/>
        <v>5.0500000000000007</v>
      </c>
      <c r="L204" s="27">
        <f t="shared" si="39"/>
        <v>50.5</v>
      </c>
      <c r="M204" s="28"/>
    </row>
    <row r="205" spans="1:13" ht="15" customHeight="1" x14ac:dyDescent="0.3">
      <c r="A205" s="5">
        <v>1102</v>
      </c>
      <c r="B205" s="5">
        <v>102</v>
      </c>
      <c r="C205" s="27">
        <f t="shared" si="30"/>
        <v>5.0999999999999997E-2</v>
      </c>
      <c r="D205" s="27">
        <f t="shared" si="31"/>
        <v>0.10199999999999999</v>
      </c>
      <c r="E205" s="27">
        <f t="shared" si="32"/>
        <v>0.20399999999999999</v>
      </c>
      <c r="F205" s="27">
        <f t="shared" si="33"/>
        <v>0.40799999999999997</v>
      </c>
      <c r="G205" s="27">
        <f t="shared" si="34"/>
        <v>0.51</v>
      </c>
      <c r="H205" s="27">
        <f t="shared" si="35"/>
        <v>1.02</v>
      </c>
      <c r="I205" s="27">
        <f t="shared" si="36"/>
        <v>2.04</v>
      </c>
      <c r="J205" s="27">
        <f t="shared" si="37"/>
        <v>4.08</v>
      </c>
      <c r="K205" s="27">
        <f t="shared" si="38"/>
        <v>5.0999999999999996</v>
      </c>
      <c r="L205" s="27">
        <f t="shared" si="39"/>
        <v>51</v>
      </c>
      <c r="M205" s="28"/>
    </row>
    <row r="206" spans="1:13" ht="15" customHeight="1" x14ac:dyDescent="0.3">
      <c r="A206" s="5">
        <v>1103</v>
      </c>
      <c r="B206" s="5">
        <v>103</v>
      </c>
      <c r="C206" s="27">
        <f t="shared" si="30"/>
        <v>5.1499999999999997E-2</v>
      </c>
      <c r="D206" s="27">
        <f t="shared" si="31"/>
        <v>0.10299999999999999</v>
      </c>
      <c r="E206" s="27">
        <f t="shared" si="32"/>
        <v>0.20599999999999999</v>
      </c>
      <c r="F206" s="27">
        <f t="shared" si="33"/>
        <v>0.41199999999999998</v>
      </c>
      <c r="G206" s="27">
        <f t="shared" si="34"/>
        <v>0.51500000000000001</v>
      </c>
      <c r="H206" s="27">
        <f t="shared" si="35"/>
        <v>1.03</v>
      </c>
      <c r="I206" s="27">
        <f t="shared" si="36"/>
        <v>2.06</v>
      </c>
      <c r="J206" s="27">
        <f t="shared" si="37"/>
        <v>4.12</v>
      </c>
      <c r="K206" s="27">
        <f t="shared" si="38"/>
        <v>5.1499999999999995</v>
      </c>
      <c r="L206" s="27">
        <f t="shared" si="39"/>
        <v>51.5</v>
      </c>
      <c r="M206" s="28"/>
    </row>
    <row r="207" spans="1:13" ht="15" customHeight="1" x14ac:dyDescent="0.3">
      <c r="A207" s="5">
        <v>1104</v>
      </c>
      <c r="B207" s="5">
        <v>104</v>
      </c>
      <c r="C207" s="27">
        <f t="shared" si="30"/>
        <v>5.1999999999999998E-2</v>
      </c>
      <c r="D207" s="27">
        <f t="shared" si="31"/>
        <v>0.104</v>
      </c>
      <c r="E207" s="27">
        <f t="shared" si="32"/>
        <v>0.20799999999999999</v>
      </c>
      <c r="F207" s="27">
        <f t="shared" si="33"/>
        <v>0.41599999999999998</v>
      </c>
      <c r="G207" s="27">
        <f t="shared" si="34"/>
        <v>0.52</v>
      </c>
      <c r="H207" s="27">
        <f t="shared" si="35"/>
        <v>1.04</v>
      </c>
      <c r="I207" s="27">
        <f t="shared" si="36"/>
        <v>2.08</v>
      </c>
      <c r="J207" s="27">
        <f t="shared" si="37"/>
        <v>4.16</v>
      </c>
      <c r="K207" s="27">
        <f t="shared" si="38"/>
        <v>5.2</v>
      </c>
      <c r="L207" s="27">
        <f t="shared" si="39"/>
        <v>52</v>
      </c>
      <c r="M207" s="28"/>
    </row>
    <row r="208" spans="1:13" ht="15" customHeight="1" x14ac:dyDescent="0.3">
      <c r="A208" s="5">
        <v>1105</v>
      </c>
      <c r="B208" s="5">
        <v>105</v>
      </c>
      <c r="C208" s="27">
        <f t="shared" si="30"/>
        <v>5.2499999999999998E-2</v>
      </c>
      <c r="D208" s="27">
        <f t="shared" si="31"/>
        <v>0.105</v>
      </c>
      <c r="E208" s="27">
        <f t="shared" si="32"/>
        <v>0.21</v>
      </c>
      <c r="F208" s="27">
        <f t="shared" si="33"/>
        <v>0.42</v>
      </c>
      <c r="G208" s="27">
        <f t="shared" si="34"/>
        <v>0.52500000000000002</v>
      </c>
      <c r="H208" s="27">
        <f t="shared" si="35"/>
        <v>1.05</v>
      </c>
      <c r="I208" s="27">
        <f t="shared" si="36"/>
        <v>2.1</v>
      </c>
      <c r="J208" s="27">
        <f t="shared" si="37"/>
        <v>4.2</v>
      </c>
      <c r="K208" s="27">
        <f t="shared" si="38"/>
        <v>5.25</v>
      </c>
      <c r="L208" s="27">
        <f t="shared" si="39"/>
        <v>52.5</v>
      </c>
      <c r="M208" s="28"/>
    </row>
    <row r="209" spans="1:13" ht="15" customHeight="1" x14ac:dyDescent="0.3">
      <c r="A209" s="5">
        <v>1106</v>
      </c>
      <c r="B209" s="5">
        <v>106</v>
      </c>
      <c r="C209" s="27">
        <f t="shared" si="30"/>
        <v>5.2999999999999999E-2</v>
      </c>
      <c r="D209" s="27">
        <f t="shared" si="31"/>
        <v>0.106</v>
      </c>
      <c r="E209" s="27">
        <f t="shared" si="32"/>
        <v>0.21199999999999999</v>
      </c>
      <c r="F209" s="27">
        <f t="shared" si="33"/>
        <v>0.42399999999999999</v>
      </c>
      <c r="G209" s="27">
        <f t="shared" si="34"/>
        <v>0.53</v>
      </c>
      <c r="H209" s="27">
        <f t="shared" si="35"/>
        <v>1.06</v>
      </c>
      <c r="I209" s="27">
        <f t="shared" si="36"/>
        <v>2.12</v>
      </c>
      <c r="J209" s="27">
        <f t="shared" si="37"/>
        <v>4.24</v>
      </c>
      <c r="K209" s="27">
        <f t="shared" si="38"/>
        <v>5.3</v>
      </c>
      <c r="L209" s="27">
        <f t="shared" si="39"/>
        <v>53</v>
      </c>
      <c r="M209" s="28"/>
    </row>
    <row r="210" spans="1:13" ht="15" customHeight="1" x14ac:dyDescent="0.3">
      <c r="A210" s="5">
        <v>1107</v>
      </c>
      <c r="B210" s="5">
        <v>107</v>
      </c>
      <c r="C210" s="27">
        <f t="shared" si="30"/>
        <v>5.3499999999999999E-2</v>
      </c>
      <c r="D210" s="27">
        <f t="shared" si="31"/>
        <v>0.107</v>
      </c>
      <c r="E210" s="27">
        <f t="shared" si="32"/>
        <v>0.214</v>
      </c>
      <c r="F210" s="27">
        <f t="shared" si="33"/>
        <v>0.42799999999999999</v>
      </c>
      <c r="G210" s="27">
        <f t="shared" si="34"/>
        <v>0.53500000000000003</v>
      </c>
      <c r="H210" s="27">
        <f t="shared" si="35"/>
        <v>1.07</v>
      </c>
      <c r="I210" s="27">
        <f t="shared" si="36"/>
        <v>2.14</v>
      </c>
      <c r="J210" s="27">
        <f t="shared" si="37"/>
        <v>4.28</v>
      </c>
      <c r="K210" s="27">
        <f t="shared" si="38"/>
        <v>5.35</v>
      </c>
      <c r="L210" s="27">
        <f t="shared" si="39"/>
        <v>53.5</v>
      </c>
      <c r="M210" s="28"/>
    </row>
    <row r="211" spans="1:13" ht="15" customHeight="1" x14ac:dyDescent="0.3">
      <c r="A211" s="5">
        <v>1108</v>
      </c>
      <c r="B211" s="5">
        <v>108</v>
      </c>
      <c r="C211" s="27">
        <f t="shared" si="30"/>
        <v>5.3999999999999999E-2</v>
      </c>
      <c r="D211" s="27">
        <f t="shared" si="31"/>
        <v>0.108</v>
      </c>
      <c r="E211" s="27">
        <f t="shared" si="32"/>
        <v>0.216</v>
      </c>
      <c r="F211" s="27">
        <f t="shared" si="33"/>
        <v>0.432</v>
      </c>
      <c r="G211" s="27">
        <f t="shared" si="34"/>
        <v>0.54</v>
      </c>
      <c r="H211" s="27">
        <f t="shared" si="35"/>
        <v>1.08</v>
      </c>
      <c r="I211" s="27">
        <f t="shared" si="36"/>
        <v>2.16</v>
      </c>
      <c r="J211" s="27">
        <f t="shared" si="37"/>
        <v>4.32</v>
      </c>
      <c r="K211" s="27">
        <f t="shared" si="38"/>
        <v>5.4</v>
      </c>
      <c r="L211" s="27">
        <f t="shared" si="39"/>
        <v>54</v>
      </c>
      <c r="M211" s="28"/>
    </row>
    <row r="212" spans="1:13" ht="15" customHeight="1" x14ac:dyDescent="0.3">
      <c r="A212" s="5">
        <v>1109</v>
      </c>
      <c r="B212" s="5">
        <v>109</v>
      </c>
      <c r="C212" s="27">
        <f t="shared" si="30"/>
        <v>5.45E-2</v>
      </c>
      <c r="D212" s="27">
        <f t="shared" si="31"/>
        <v>0.109</v>
      </c>
      <c r="E212" s="27">
        <f t="shared" si="32"/>
        <v>0.218</v>
      </c>
      <c r="F212" s="27">
        <f t="shared" si="33"/>
        <v>0.436</v>
      </c>
      <c r="G212" s="27">
        <f t="shared" si="34"/>
        <v>0.54500000000000004</v>
      </c>
      <c r="H212" s="27">
        <f t="shared" si="35"/>
        <v>1.0900000000000001</v>
      </c>
      <c r="I212" s="27">
        <f t="shared" si="36"/>
        <v>2.1800000000000002</v>
      </c>
      <c r="J212" s="27">
        <f t="shared" si="37"/>
        <v>4.3600000000000003</v>
      </c>
      <c r="K212" s="27">
        <f t="shared" si="38"/>
        <v>5.45</v>
      </c>
      <c r="L212" s="27">
        <f t="shared" si="39"/>
        <v>54.5</v>
      </c>
      <c r="M212" s="28"/>
    </row>
    <row r="213" spans="1:13" ht="15" customHeight="1" x14ac:dyDescent="0.3">
      <c r="A213" s="9">
        <v>1110</v>
      </c>
      <c r="B213" s="5">
        <v>110</v>
      </c>
      <c r="C213" s="15">
        <f t="shared" si="30"/>
        <v>5.5E-2</v>
      </c>
      <c r="D213" s="15">
        <f t="shared" si="31"/>
        <v>0.11</v>
      </c>
      <c r="E213" s="15">
        <f t="shared" si="32"/>
        <v>0.22</v>
      </c>
      <c r="F213" s="15">
        <f t="shared" si="33"/>
        <v>0.44</v>
      </c>
      <c r="G213" s="15">
        <f t="shared" si="34"/>
        <v>0.55000000000000004</v>
      </c>
      <c r="H213" s="15">
        <f t="shared" si="35"/>
        <v>1.1000000000000001</v>
      </c>
      <c r="I213" s="15">
        <f t="shared" si="36"/>
        <v>2.2000000000000002</v>
      </c>
      <c r="J213" s="15">
        <f t="shared" si="37"/>
        <v>4.4000000000000004</v>
      </c>
      <c r="K213" s="15">
        <f t="shared" si="38"/>
        <v>5.5</v>
      </c>
      <c r="L213" s="15">
        <f t="shared" si="39"/>
        <v>55</v>
      </c>
      <c r="M213" s="28"/>
    </row>
  </sheetData>
  <mergeCells count="1">
    <mergeCell ref="A1:J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5AFD-5DFB-413D-B46B-E3684A52DC35}">
  <dimension ref="A1:L63"/>
  <sheetViews>
    <sheetView workbookViewId="0">
      <selection activeCell="C23" sqref="C23"/>
    </sheetView>
  </sheetViews>
  <sheetFormatPr defaultRowHeight="12" x14ac:dyDescent="0.3"/>
  <cols>
    <col min="1" max="2" width="10" style="2" customWidth="1"/>
    <col min="3" max="8" width="9" style="2"/>
    <col min="9" max="9" width="9.875" style="2" customWidth="1"/>
    <col min="10" max="10" width="10.125" style="2" customWidth="1"/>
    <col min="11" max="16384" width="9" style="2"/>
  </cols>
  <sheetData>
    <row r="1" spans="1:12" ht="24.95" customHeight="1" x14ac:dyDescent="0.3">
      <c r="A1" s="32" t="s">
        <v>1</v>
      </c>
      <c r="B1" s="32"/>
      <c r="C1" s="32"/>
      <c r="D1" s="32"/>
      <c r="E1" s="32"/>
      <c r="F1" s="32"/>
      <c r="G1" s="32"/>
      <c r="H1" s="32"/>
      <c r="I1" s="32"/>
      <c r="J1" s="32"/>
    </row>
    <row r="2" spans="1:12" ht="24" x14ac:dyDescent="0.3">
      <c r="A2" s="11" t="s">
        <v>0</v>
      </c>
      <c r="B2" s="12"/>
      <c r="C2" s="1">
        <v>1</v>
      </c>
      <c r="D2" s="1">
        <v>2</v>
      </c>
      <c r="E2" s="1">
        <v>4</v>
      </c>
      <c r="F2" s="1">
        <v>8</v>
      </c>
      <c r="G2" s="1">
        <v>10</v>
      </c>
      <c r="H2" s="1">
        <v>20</v>
      </c>
      <c r="I2" s="1">
        <v>40</v>
      </c>
      <c r="J2" s="1">
        <v>80</v>
      </c>
      <c r="K2" s="21">
        <v>100</v>
      </c>
      <c r="L2" s="21">
        <v>1000</v>
      </c>
    </row>
    <row r="3" spans="1:12" x14ac:dyDescent="0.3">
      <c r="A3" s="3">
        <v>320</v>
      </c>
      <c r="B3" s="1">
        <v>-30</v>
      </c>
      <c r="C3" s="4">
        <f>(0.1/2)*(B3/350)*1</f>
        <v>-4.2857142857142859E-3</v>
      </c>
      <c r="D3" s="4">
        <f>C3*2</f>
        <v>-8.5714285714285719E-3</v>
      </c>
      <c r="E3" s="4">
        <f>C3*4</f>
        <v>-1.7142857142857144E-2</v>
      </c>
      <c r="F3" s="4">
        <f>C3*8</f>
        <v>-3.4285714285714287E-2</v>
      </c>
      <c r="G3" s="4">
        <f>C3*10</f>
        <v>-4.2857142857142858E-2</v>
      </c>
      <c r="H3" s="4">
        <f>C3*20</f>
        <v>-8.5714285714285715E-2</v>
      </c>
      <c r="I3" s="4">
        <f>C3*40</f>
        <v>-0.17142857142857143</v>
      </c>
      <c r="J3" s="4">
        <f>C3*80</f>
        <v>-0.34285714285714286</v>
      </c>
      <c r="K3" s="24">
        <f>C3*100</f>
        <v>-0.4285714285714286</v>
      </c>
      <c r="L3" s="24">
        <f>C3*1000</f>
        <v>-4.2857142857142856</v>
      </c>
    </row>
    <row r="4" spans="1:12" x14ac:dyDescent="0.3">
      <c r="A4" s="1">
        <v>321</v>
      </c>
      <c r="B4" s="1">
        <v>-29</v>
      </c>
      <c r="C4" s="22">
        <f t="shared" ref="C4:C63" si="0">(0.1/2)*(B4/350)*1</f>
        <v>-4.1428571428571426E-3</v>
      </c>
      <c r="D4" s="22">
        <f t="shared" ref="D4:D63" si="1">C4*2</f>
        <v>-8.2857142857142851E-3</v>
      </c>
      <c r="E4" s="22">
        <f t="shared" ref="E4:E63" si="2">C4*4</f>
        <v>-1.657142857142857E-2</v>
      </c>
      <c r="F4" s="22">
        <f t="shared" ref="F4:F63" si="3">C4*8</f>
        <v>-3.3142857142857141E-2</v>
      </c>
      <c r="G4" s="22">
        <f t="shared" ref="G4:G63" si="4">C4*10</f>
        <v>-4.1428571428571426E-2</v>
      </c>
      <c r="H4" s="22">
        <f t="shared" ref="H4:H62" si="5">C4*20</f>
        <v>-8.2857142857142851E-2</v>
      </c>
      <c r="I4" s="22">
        <f t="shared" ref="I4:I63" si="6">C4*40</f>
        <v>-0.1657142857142857</v>
      </c>
      <c r="J4" s="22">
        <f t="shared" ref="J4:J63" si="7">C4*80</f>
        <v>-0.33142857142857141</v>
      </c>
      <c r="K4" s="23">
        <f t="shared" ref="K4:K63" si="8">C4*100</f>
        <v>-0.41428571428571426</v>
      </c>
      <c r="L4" s="23">
        <f t="shared" ref="L4:L63" si="9">C4*1000</f>
        <v>-4.1428571428571423</v>
      </c>
    </row>
    <row r="5" spans="1:12" x14ac:dyDescent="0.3">
      <c r="A5" s="1">
        <v>322</v>
      </c>
      <c r="B5" s="1">
        <v>-28</v>
      </c>
      <c r="C5" s="22">
        <f t="shared" si="0"/>
        <v>-4.0000000000000001E-3</v>
      </c>
      <c r="D5" s="22">
        <f t="shared" si="1"/>
        <v>-8.0000000000000002E-3</v>
      </c>
      <c r="E5" s="22">
        <f t="shared" si="2"/>
        <v>-1.6E-2</v>
      </c>
      <c r="F5" s="22">
        <f t="shared" si="3"/>
        <v>-3.2000000000000001E-2</v>
      </c>
      <c r="G5" s="22">
        <f t="shared" si="4"/>
        <v>-0.04</v>
      </c>
      <c r="H5" s="22">
        <f t="shared" si="5"/>
        <v>-0.08</v>
      </c>
      <c r="I5" s="22">
        <f t="shared" si="6"/>
        <v>-0.16</v>
      </c>
      <c r="J5" s="22">
        <f t="shared" si="7"/>
        <v>-0.32</v>
      </c>
      <c r="K5" s="23">
        <f t="shared" si="8"/>
        <v>-0.4</v>
      </c>
      <c r="L5" s="23">
        <f t="shared" si="9"/>
        <v>-4</v>
      </c>
    </row>
    <row r="6" spans="1:12" x14ac:dyDescent="0.3">
      <c r="A6" s="1">
        <v>323</v>
      </c>
      <c r="B6" s="1">
        <v>-27</v>
      </c>
      <c r="C6" s="22">
        <f t="shared" si="0"/>
        <v>-3.8571428571428572E-3</v>
      </c>
      <c r="D6" s="22">
        <f t="shared" si="1"/>
        <v>-7.7142857142857143E-3</v>
      </c>
      <c r="E6" s="22">
        <f t="shared" si="2"/>
        <v>-1.5428571428571429E-2</v>
      </c>
      <c r="F6" s="22">
        <f t="shared" si="3"/>
        <v>-3.0857142857142857E-2</v>
      </c>
      <c r="G6" s="22">
        <f t="shared" si="4"/>
        <v>-3.8571428571428569E-2</v>
      </c>
      <c r="H6" s="22">
        <f t="shared" si="5"/>
        <v>-7.7142857142857138E-2</v>
      </c>
      <c r="I6" s="22">
        <f t="shared" si="6"/>
        <v>-0.15428571428571428</v>
      </c>
      <c r="J6" s="22">
        <f t="shared" si="7"/>
        <v>-0.30857142857142855</v>
      </c>
      <c r="K6" s="23">
        <f t="shared" si="8"/>
        <v>-0.38571428571428573</v>
      </c>
      <c r="L6" s="23">
        <f t="shared" si="9"/>
        <v>-3.8571428571428572</v>
      </c>
    </row>
    <row r="7" spans="1:12" x14ac:dyDescent="0.3">
      <c r="A7" s="1">
        <v>324</v>
      </c>
      <c r="B7" s="1">
        <v>-26</v>
      </c>
      <c r="C7" s="22">
        <f t="shared" si="0"/>
        <v>-3.7142857142857147E-3</v>
      </c>
      <c r="D7" s="22">
        <f t="shared" si="1"/>
        <v>-7.4285714285714293E-3</v>
      </c>
      <c r="E7" s="22">
        <f t="shared" si="2"/>
        <v>-1.4857142857142859E-2</v>
      </c>
      <c r="F7" s="22">
        <f t="shared" si="3"/>
        <v>-2.9714285714285717E-2</v>
      </c>
      <c r="G7" s="22">
        <f t="shared" si="4"/>
        <v>-3.7142857142857144E-2</v>
      </c>
      <c r="H7" s="22">
        <f t="shared" si="5"/>
        <v>-7.4285714285714288E-2</v>
      </c>
      <c r="I7" s="22">
        <f t="shared" si="6"/>
        <v>-0.14857142857142858</v>
      </c>
      <c r="J7" s="22">
        <f t="shared" si="7"/>
        <v>-0.29714285714285715</v>
      </c>
      <c r="K7" s="23">
        <f t="shared" si="8"/>
        <v>-0.37142857142857144</v>
      </c>
      <c r="L7" s="23">
        <f t="shared" si="9"/>
        <v>-3.7142857142857149</v>
      </c>
    </row>
    <row r="8" spans="1:12" x14ac:dyDescent="0.3">
      <c r="A8" s="1">
        <v>325</v>
      </c>
      <c r="B8" s="1">
        <v>-25</v>
      </c>
      <c r="C8" s="22">
        <f t="shared" si="0"/>
        <v>-3.5714285714285713E-3</v>
      </c>
      <c r="D8" s="22">
        <f t="shared" si="1"/>
        <v>-7.1428571428571426E-3</v>
      </c>
      <c r="E8" s="22">
        <f t="shared" si="2"/>
        <v>-1.4285714285714285E-2</v>
      </c>
      <c r="F8" s="22">
        <f t="shared" si="3"/>
        <v>-2.8571428571428571E-2</v>
      </c>
      <c r="G8" s="22">
        <f t="shared" si="4"/>
        <v>-3.5714285714285712E-2</v>
      </c>
      <c r="H8" s="22">
        <f t="shared" si="5"/>
        <v>-7.1428571428571425E-2</v>
      </c>
      <c r="I8" s="25">
        <f t="shared" si="6"/>
        <v>-0.14285714285714285</v>
      </c>
      <c r="J8" s="22">
        <f t="shared" si="7"/>
        <v>-0.2857142857142857</v>
      </c>
      <c r="K8" s="23">
        <f t="shared" si="8"/>
        <v>-0.35714285714285715</v>
      </c>
      <c r="L8" s="23">
        <f t="shared" si="9"/>
        <v>-3.5714285714285712</v>
      </c>
    </row>
    <row r="9" spans="1:12" x14ac:dyDescent="0.3">
      <c r="A9" s="1">
        <v>326</v>
      </c>
      <c r="B9" s="1">
        <v>-24</v>
      </c>
      <c r="C9" s="22">
        <f t="shared" si="0"/>
        <v>-3.4285714285714288E-3</v>
      </c>
      <c r="D9" s="22">
        <f t="shared" si="1"/>
        <v>-6.8571428571428577E-3</v>
      </c>
      <c r="E9" s="22">
        <f t="shared" si="2"/>
        <v>-1.3714285714285715E-2</v>
      </c>
      <c r="F9" s="22">
        <f t="shared" si="3"/>
        <v>-2.7428571428571431E-2</v>
      </c>
      <c r="G9" s="22">
        <f t="shared" si="4"/>
        <v>-3.4285714285714287E-2</v>
      </c>
      <c r="H9" s="22">
        <f t="shared" si="5"/>
        <v>-6.8571428571428575E-2</v>
      </c>
      <c r="I9" s="22">
        <f t="shared" si="6"/>
        <v>-0.13714285714285715</v>
      </c>
      <c r="J9" s="22">
        <f t="shared" si="7"/>
        <v>-0.2742857142857143</v>
      </c>
      <c r="K9" s="23">
        <f t="shared" si="8"/>
        <v>-0.34285714285714286</v>
      </c>
      <c r="L9" s="23">
        <f t="shared" si="9"/>
        <v>-3.4285714285714288</v>
      </c>
    </row>
    <row r="10" spans="1:12" x14ac:dyDescent="0.3">
      <c r="A10" s="1">
        <v>327</v>
      </c>
      <c r="B10" s="1">
        <v>-23</v>
      </c>
      <c r="C10" s="22">
        <f t="shared" si="0"/>
        <v>-3.2857142857142859E-3</v>
      </c>
      <c r="D10" s="22">
        <f t="shared" si="1"/>
        <v>-6.5714285714285718E-3</v>
      </c>
      <c r="E10" s="22">
        <f t="shared" si="2"/>
        <v>-1.3142857142857144E-2</v>
      </c>
      <c r="F10" s="22">
        <f t="shared" si="3"/>
        <v>-2.6285714285714287E-2</v>
      </c>
      <c r="G10" s="22">
        <f t="shared" si="4"/>
        <v>-3.2857142857142863E-2</v>
      </c>
      <c r="H10" s="22">
        <f t="shared" si="5"/>
        <v>-6.5714285714285725E-2</v>
      </c>
      <c r="I10" s="22">
        <f t="shared" si="6"/>
        <v>-0.13142857142857145</v>
      </c>
      <c r="J10" s="22">
        <f t="shared" si="7"/>
        <v>-0.2628571428571429</v>
      </c>
      <c r="K10" s="23">
        <f t="shared" si="8"/>
        <v>-0.32857142857142857</v>
      </c>
      <c r="L10" s="23">
        <f t="shared" si="9"/>
        <v>-3.285714285714286</v>
      </c>
    </row>
    <row r="11" spans="1:12" x14ac:dyDescent="0.3">
      <c r="A11" s="1">
        <v>328</v>
      </c>
      <c r="B11" s="1">
        <v>-22</v>
      </c>
      <c r="C11" s="22">
        <f t="shared" si="0"/>
        <v>-3.1428571428571434E-3</v>
      </c>
      <c r="D11" s="22">
        <f t="shared" si="1"/>
        <v>-6.2857142857142868E-3</v>
      </c>
      <c r="E11" s="22">
        <f t="shared" si="2"/>
        <v>-1.2571428571428574E-2</v>
      </c>
      <c r="F11" s="22">
        <f t="shared" si="3"/>
        <v>-2.5142857142857147E-2</v>
      </c>
      <c r="G11" s="22">
        <f t="shared" si="4"/>
        <v>-3.1428571428571431E-2</v>
      </c>
      <c r="H11" s="22">
        <f t="shared" si="5"/>
        <v>-6.2857142857142861E-2</v>
      </c>
      <c r="I11" s="22">
        <f t="shared" si="6"/>
        <v>-0.12571428571428572</v>
      </c>
      <c r="J11" s="22">
        <f t="shared" si="7"/>
        <v>-0.25142857142857145</v>
      </c>
      <c r="K11" s="23">
        <f t="shared" si="8"/>
        <v>-0.31428571428571433</v>
      </c>
      <c r="L11" s="23">
        <f t="shared" si="9"/>
        <v>-3.1428571428571432</v>
      </c>
    </row>
    <row r="12" spans="1:12" x14ac:dyDescent="0.3">
      <c r="A12" s="1">
        <v>329</v>
      </c>
      <c r="B12" s="1">
        <v>-21</v>
      </c>
      <c r="C12" s="22">
        <f t="shared" si="0"/>
        <v>-3.0000000000000001E-3</v>
      </c>
      <c r="D12" s="22">
        <f t="shared" si="1"/>
        <v>-6.0000000000000001E-3</v>
      </c>
      <c r="E12" s="22">
        <f t="shared" si="2"/>
        <v>-1.2E-2</v>
      </c>
      <c r="F12" s="22">
        <f t="shared" si="3"/>
        <v>-2.4E-2</v>
      </c>
      <c r="G12" s="22">
        <f t="shared" si="4"/>
        <v>-0.03</v>
      </c>
      <c r="H12" s="22">
        <f t="shared" si="5"/>
        <v>-0.06</v>
      </c>
      <c r="I12" s="22">
        <f t="shared" si="6"/>
        <v>-0.12</v>
      </c>
      <c r="J12" s="22">
        <f t="shared" si="7"/>
        <v>-0.24</v>
      </c>
      <c r="K12" s="23">
        <f t="shared" si="8"/>
        <v>-0.3</v>
      </c>
      <c r="L12" s="23">
        <f t="shared" si="9"/>
        <v>-3</v>
      </c>
    </row>
    <row r="13" spans="1:12" x14ac:dyDescent="0.3">
      <c r="A13" s="3">
        <v>330</v>
      </c>
      <c r="B13" s="1">
        <v>-20</v>
      </c>
      <c r="C13" s="4">
        <f t="shared" si="0"/>
        <v>-2.8571428571428571E-3</v>
      </c>
      <c r="D13" s="4">
        <f t="shared" si="1"/>
        <v>-5.7142857142857143E-3</v>
      </c>
      <c r="E13" s="4">
        <f t="shared" si="2"/>
        <v>-1.1428571428571429E-2</v>
      </c>
      <c r="F13" s="4">
        <f t="shared" si="3"/>
        <v>-2.2857142857142857E-2</v>
      </c>
      <c r="G13" s="4">
        <f t="shared" si="4"/>
        <v>-2.8571428571428571E-2</v>
      </c>
      <c r="H13" s="4">
        <f t="shared" si="5"/>
        <v>-5.7142857142857141E-2</v>
      </c>
      <c r="I13" s="4">
        <f t="shared" si="6"/>
        <v>-0.11428571428571428</v>
      </c>
      <c r="J13" s="4">
        <f t="shared" si="7"/>
        <v>-0.22857142857142856</v>
      </c>
      <c r="K13" s="24">
        <f t="shared" si="8"/>
        <v>-0.2857142857142857</v>
      </c>
      <c r="L13" s="24">
        <f t="shared" si="9"/>
        <v>-2.8571428571428572</v>
      </c>
    </row>
    <row r="14" spans="1:12" x14ac:dyDescent="0.3">
      <c r="A14" s="1">
        <v>331</v>
      </c>
      <c r="B14" s="1">
        <v>-19</v>
      </c>
      <c r="C14" s="22">
        <f t="shared" si="0"/>
        <v>-2.7142857142857142E-3</v>
      </c>
      <c r="D14" s="22">
        <f t="shared" si="1"/>
        <v>-5.4285714285714284E-3</v>
      </c>
      <c r="E14" s="22">
        <f t="shared" si="2"/>
        <v>-1.0857142857142857E-2</v>
      </c>
      <c r="F14" s="22">
        <f t="shared" si="3"/>
        <v>-2.1714285714285714E-2</v>
      </c>
      <c r="G14" s="22">
        <f t="shared" si="4"/>
        <v>-2.7142857142857142E-2</v>
      </c>
      <c r="H14" s="22">
        <f t="shared" si="5"/>
        <v>-5.4285714285714284E-2</v>
      </c>
      <c r="I14" s="22">
        <f t="shared" si="6"/>
        <v>-0.10857142857142857</v>
      </c>
      <c r="J14" s="22">
        <f t="shared" si="7"/>
        <v>-0.21714285714285714</v>
      </c>
      <c r="K14" s="23">
        <f t="shared" si="8"/>
        <v>-0.27142857142857141</v>
      </c>
      <c r="L14" s="23">
        <f t="shared" si="9"/>
        <v>-2.7142857142857144</v>
      </c>
    </row>
    <row r="15" spans="1:12" x14ac:dyDescent="0.3">
      <c r="A15" s="1">
        <v>332</v>
      </c>
      <c r="B15" s="1">
        <v>-18</v>
      </c>
      <c r="C15" s="22">
        <f t="shared" si="0"/>
        <v>-2.5714285714285717E-3</v>
      </c>
      <c r="D15" s="22">
        <f t="shared" si="1"/>
        <v>-5.1428571428571435E-3</v>
      </c>
      <c r="E15" s="22">
        <f t="shared" si="2"/>
        <v>-1.0285714285714287E-2</v>
      </c>
      <c r="F15" s="22">
        <f t="shared" si="3"/>
        <v>-2.0571428571428574E-2</v>
      </c>
      <c r="G15" s="22">
        <f t="shared" si="4"/>
        <v>-2.5714285714285717E-2</v>
      </c>
      <c r="H15" s="22">
        <f t="shared" si="5"/>
        <v>-5.1428571428571435E-2</v>
      </c>
      <c r="I15" s="22">
        <f t="shared" si="6"/>
        <v>-0.10285714285714287</v>
      </c>
      <c r="J15" s="22">
        <f t="shared" si="7"/>
        <v>-0.20571428571428574</v>
      </c>
      <c r="K15" s="23">
        <f t="shared" si="8"/>
        <v>-0.25714285714285717</v>
      </c>
      <c r="L15" s="23">
        <f t="shared" si="9"/>
        <v>-2.5714285714285716</v>
      </c>
    </row>
    <row r="16" spans="1:12" x14ac:dyDescent="0.3">
      <c r="A16" s="1">
        <v>333</v>
      </c>
      <c r="B16" s="1">
        <v>-17</v>
      </c>
      <c r="C16" s="22">
        <f t="shared" si="0"/>
        <v>-2.4285714285714288E-3</v>
      </c>
      <c r="D16" s="22">
        <f t="shared" si="1"/>
        <v>-4.8571428571428576E-3</v>
      </c>
      <c r="E16" s="22">
        <f t="shared" si="2"/>
        <v>-9.7142857142857152E-3</v>
      </c>
      <c r="F16" s="22">
        <f t="shared" si="3"/>
        <v>-1.942857142857143E-2</v>
      </c>
      <c r="G16" s="22">
        <f t="shared" si="4"/>
        <v>-2.4285714285714289E-2</v>
      </c>
      <c r="H16" s="22">
        <f t="shared" si="5"/>
        <v>-4.8571428571428578E-2</v>
      </c>
      <c r="I16" s="22">
        <f t="shared" si="6"/>
        <v>-9.7142857142857156E-2</v>
      </c>
      <c r="J16" s="22">
        <f t="shared" si="7"/>
        <v>-0.19428571428571431</v>
      </c>
      <c r="K16" s="23">
        <f t="shared" si="8"/>
        <v>-0.24285714285714288</v>
      </c>
      <c r="L16" s="23">
        <f t="shared" si="9"/>
        <v>-2.4285714285714288</v>
      </c>
    </row>
    <row r="17" spans="1:12" x14ac:dyDescent="0.3">
      <c r="A17" s="1">
        <v>334</v>
      </c>
      <c r="B17" s="1">
        <v>-16</v>
      </c>
      <c r="C17" s="22">
        <f t="shared" si="0"/>
        <v>-2.2857142857142859E-3</v>
      </c>
      <c r="D17" s="22">
        <f t="shared" si="1"/>
        <v>-4.5714285714285718E-3</v>
      </c>
      <c r="E17" s="22">
        <f t="shared" si="2"/>
        <v>-9.1428571428571435E-3</v>
      </c>
      <c r="F17" s="22">
        <f t="shared" si="3"/>
        <v>-1.8285714285714287E-2</v>
      </c>
      <c r="G17" s="22">
        <f t="shared" si="4"/>
        <v>-2.2857142857142861E-2</v>
      </c>
      <c r="H17" s="22">
        <f t="shared" si="5"/>
        <v>-4.5714285714285721E-2</v>
      </c>
      <c r="I17" s="22">
        <f t="shared" si="6"/>
        <v>-9.1428571428571442E-2</v>
      </c>
      <c r="J17" s="22">
        <f t="shared" si="7"/>
        <v>-0.18285714285714288</v>
      </c>
      <c r="K17" s="23">
        <f t="shared" si="8"/>
        <v>-0.22857142857142859</v>
      </c>
      <c r="L17" s="23">
        <f t="shared" si="9"/>
        <v>-2.285714285714286</v>
      </c>
    </row>
    <row r="18" spans="1:12" x14ac:dyDescent="0.3">
      <c r="A18" s="1">
        <v>335</v>
      </c>
      <c r="B18" s="1">
        <v>-15</v>
      </c>
      <c r="C18" s="22">
        <f t="shared" si="0"/>
        <v>-2.142857142857143E-3</v>
      </c>
      <c r="D18" s="22">
        <f t="shared" si="1"/>
        <v>-4.2857142857142859E-3</v>
      </c>
      <c r="E18" s="22">
        <f t="shared" si="2"/>
        <v>-8.5714285714285719E-3</v>
      </c>
      <c r="F18" s="22">
        <f t="shared" si="3"/>
        <v>-1.7142857142857144E-2</v>
      </c>
      <c r="G18" s="22">
        <f t="shared" si="4"/>
        <v>-2.1428571428571429E-2</v>
      </c>
      <c r="H18" s="22">
        <f t="shared" si="5"/>
        <v>-4.2857142857142858E-2</v>
      </c>
      <c r="I18" s="22">
        <f t="shared" si="6"/>
        <v>-8.5714285714285715E-2</v>
      </c>
      <c r="J18" s="22">
        <f t="shared" si="7"/>
        <v>-0.17142857142857143</v>
      </c>
      <c r="K18" s="23">
        <f t="shared" si="8"/>
        <v>-0.2142857142857143</v>
      </c>
      <c r="L18" s="23">
        <f t="shared" si="9"/>
        <v>-2.1428571428571428</v>
      </c>
    </row>
    <row r="19" spans="1:12" x14ac:dyDescent="0.3">
      <c r="A19" s="1">
        <v>336</v>
      </c>
      <c r="B19" s="1">
        <v>-14</v>
      </c>
      <c r="C19" s="22">
        <f t="shared" si="0"/>
        <v>-2E-3</v>
      </c>
      <c r="D19" s="22">
        <f t="shared" si="1"/>
        <v>-4.0000000000000001E-3</v>
      </c>
      <c r="E19" s="22">
        <f t="shared" si="2"/>
        <v>-8.0000000000000002E-3</v>
      </c>
      <c r="F19" s="22">
        <f t="shared" si="3"/>
        <v>-1.6E-2</v>
      </c>
      <c r="G19" s="22">
        <f t="shared" si="4"/>
        <v>-0.02</v>
      </c>
      <c r="H19" s="22">
        <f t="shared" si="5"/>
        <v>-0.04</v>
      </c>
      <c r="I19" s="22">
        <f t="shared" si="6"/>
        <v>-0.08</v>
      </c>
      <c r="J19" s="22">
        <f t="shared" si="7"/>
        <v>-0.16</v>
      </c>
      <c r="K19" s="23">
        <f t="shared" si="8"/>
        <v>-0.2</v>
      </c>
      <c r="L19" s="23">
        <f t="shared" si="9"/>
        <v>-2</v>
      </c>
    </row>
    <row r="20" spans="1:12" x14ac:dyDescent="0.3">
      <c r="A20" s="1">
        <v>337</v>
      </c>
      <c r="B20" s="1">
        <v>-13</v>
      </c>
      <c r="C20" s="22">
        <f t="shared" si="0"/>
        <v>-1.8571428571428573E-3</v>
      </c>
      <c r="D20" s="22">
        <f t="shared" si="1"/>
        <v>-3.7142857142857147E-3</v>
      </c>
      <c r="E20" s="22">
        <f t="shared" si="2"/>
        <v>-7.4285714285714293E-3</v>
      </c>
      <c r="F20" s="22">
        <f t="shared" si="3"/>
        <v>-1.4857142857142859E-2</v>
      </c>
      <c r="G20" s="22">
        <f t="shared" si="4"/>
        <v>-1.8571428571428572E-2</v>
      </c>
      <c r="H20" s="22">
        <f t="shared" si="5"/>
        <v>-3.7142857142857144E-2</v>
      </c>
      <c r="I20" s="22">
        <f t="shared" si="6"/>
        <v>-7.4285714285714288E-2</v>
      </c>
      <c r="J20" s="25">
        <f t="shared" si="7"/>
        <v>-0.14857142857142858</v>
      </c>
      <c r="K20" s="23">
        <f t="shared" si="8"/>
        <v>-0.18571428571428572</v>
      </c>
      <c r="L20" s="23">
        <f t="shared" si="9"/>
        <v>-1.8571428571428574</v>
      </c>
    </row>
    <row r="21" spans="1:12" x14ac:dyDescent="0.3">
      <c r="A21" s="1">
        <v>338</v>
      </c>
      <c r="B21" s="1">
        <v>-12</v>
      </c>
      <c r="C21" s="22">
        <f t="shared" si="0"/>
        <v>-1.7142857142857144E-3</v>
      </c>
      <c r="D21" s="22">
        <f t="shared" si="1"/>
        <v>-3.4285714285714288E-3</v>
      </c>
      <c r="E21" s="22">
        <f t="shared" si="2"/>
        <v>-6.8571428571428577E-3</v>
      </c>
      <c r="F21" s="22">
        <f t="shared" si="3"/>
        <v>-1.3714285714285715E-2</v>
      </c>
      <c r="G21" s="22">
        <f t="shared" si="4"/>
        <v>-1.7142857142857144E-2</v>
      </c>
      <c r="H21" s="22">
        <f t="shared" si="5"/>
        <v>-3.4285714285714287E-2</v>
      </c>
      <c r="I21" s="22">
        <f t="shared" si="6"/>
        <v>-6.8571428571428575E-2</v>
      </c>
      <c r="J21" s="22">
        <f t="shared" si="7"/>
        <v>-0.13714285714285715</v>
      </c>
      <c r="K21" s="23">
        <f t="shared" si="8"/>
        <v>-0.17142857142857143</v>
      </c>
      <c r="L21" s="23">
        <f t="shared" si="9"/>
        <v>-1.7142857142857144</v>
      </c>
    </row>
    <row r="22" spans="1:12" x14ac:dyDescent="0.3">
      <c r="A22" s="1">
        <v>339</v>
      </c>
      <c r="B22" s="1">
        <v>-11</v>
      </c>
      <c r="C22" s="22">
        <f t="shared" si="0"/>
        <v>-1.5714285714285717E-3</v>
      </c>
      <c r="D22" s="22">
        <f t="shared" si="1"/>
        <v>-3.1428571428571434E-3</v>
      </c>
      <c r="E22" s="22">
        <f t="shared" si="2"/>
        <v>-6.2857142857142868E-3</v>
      </c>
      <c r="F22" s="22">
        <f t="shared" si="3"/>
        <v>-1.2571428571428574E-2</v>
      </c>
      <c r="G22" s="22">
        <f t="shared" si="4"/>
        <v>-1.5714285714285715E-2</v>
      </c>
      <c r="H22" s="22">
        <f t="shared" si="5"/>
        <v>-3.1428571428571431E-2</v>
      </c>
      <c r="I22" s="22">
        <f t="shared" si="6"/>
        <v>-6.2857142857142861E-2</v>
      </c>
      <c r="J22" s="22">
        <f t="shared" si="7"/>
        <v>-0.12571428571428572</v>
      </c>
      <c r="K22" s="23">
        <f t="shared" si="8"/>
        <v>-0.15714285714285717</v>
      </c>
      <c r="L22" s="23">
        <f t="shared" si="9"/>
        <v>-1.5714285714285716</v>
      </c>
    </row>
    <row r="23" spans="1:12" x14ac:dyDescent="0.3">
      <c r="A23" s="3">
        <v>340</v>
      </c>
      <c r="B23" s="1">
        <v>-10</v>
      </c>
      <c r="C23" s="4">
        <f t="shared" si="0"/>
        <v>-1.4285714285714286E-3</v>
      </c>
      <c r="D23" s="4">
        <f t="shared" si="1"/>
        <v>-2.8571428571428571E-3</v>
      </c>
      <c r="E23" s="4">
        <f t="shared" si="2"/>
        <v>-5.7142857142857143E-3</v>
      </c>
      <c r="F23" s="4">
        <f t="shared" si="3"/>
        <v>-1.1428571428571429E-2</v>
      </c>
      <c r="G23" s="4">
        <f t="shared" si="4"/>
        <v>-1.4285714285714285E-2</v>
      </c>
      <c r="H23" s="4">
        <f t="shared" si="5"/>
        <v>-2.8571428571428571E-2</v>
      </c>
      <c r="I23" s="4">
        <f t="shared" si="6"/>
        <v>-5.7142857142857141E-2</v>
      </c>
      <c r="J23" s="4">
        <f t="shared" si="7"/>
        <v>-0.11428571428571428</v>
      </c>
      <c r="K23" s="26">
        <f t="shared" si="8"/>
        <v>-0.14285714285714285</v>
      </c>
      <c r="L23" s="24">
        <f t="shared" si="9"/>
        <v>-1.4285714285714286</v>
      </c>
    </row>
    <row r="24" spans="1:12" x14ac:dyDescent="0.3">
      <c r="A24" s="1">
        <v>341</v>
      </c>
      <c r="B24" s="1">
        <v>-9</v>
      </c>
      <c r="C24" s="22">
        <f t="shared" si="0"/>
        <v>-1.2857142857142859E-3</v>
      </c>
      <c r="D24" s="22">
        <f t="shared" si="1"/>
        <v>-2.5714285714285717E-3</v>
      </c>
      <c r="E24" s="22">
        <f t="shared" si="2"/>
        <v>-5.1428571428571435E-3</v>
      </c>
      <c r="F24" s="22">
        <f t="shared" si="3"/>
        <v>-1.0285714285714287E-2</v>
      </c>
      <c r="G24" s="22">
        <f t="shared" si="4"/>
        <v>-1.2857142857142859E-2</v>
      </c>
      <c r="H24" s="22">
        <f t="shared" si="5"/>
        <v>-2.5714285714285717E-2</v>
      </c>
      <c r="I24" s="22">
        <f t="shared" si="6"/>
        <v>-5.1428571428571435E-2</v>
      </c>
      <c r="J24" s="22">
        <f t="shared" si="7"/>
        <v>-0.10285714285714287</v>
      </c>
      <c r="K24" s="23">
        <f t="shared" si="8"/>
        <v>-0.12857142857142859</v>
      </c>
      <c r="L24" s="23">
        <f t="shared" si="9"/>
        <v>-1.2857142857142858</v>
      </c>
    </row>
    <row r="25" spans="1:12" x14ac:dyDescent="0.3">
      <c r="A25" s="1">
        <v>342</v>
      </c>
      <c r="B25" s="1">
        <v>-8</v>
      </c>
      <c r="C25" s="22">
        <f t="shared" si="0"/>
        <v>-1.1428571428571429E-3</v>
      </c>
      <c r="D25" s="22">
        <f t="shared" si="1"/>
        <v>-2.2857142857142859E-3</v>
      </c>
      <c r="E25" s="22">
        <f t="shared" si="2"/>
        <v>-4.5714285714285718E-3</v>
      </c>
      <c r="F25" s="22">
        <f t="shared" si="3"/>
        <v>-9.1428571428571435E-3</v>
      </c>
      <c r="G25" s="22">
        <f t="shared" si="4"/>
        <v>-1.142857142857143E-2</v>
      </c>
      <c r="H25" s="22">
        <f t="shared" si="5"/>
        <v>-2.2857142857142861E-2</v>
      </c>
      <c r="I25" s="22">
        <f t="shared" si="6"/>
        <v>-4.5714285714285721E-2</v>
      </c>
      <c r="J25" s="22">
        <f t="shared" si="7"/>
        <v>-9.1428571428571442E-2</v>
      </c>
      <c r="K25" s="23">
        <f t="shared" si="8"/>
        <v>-0.1142857142857143</v>
      </c>
      <c r="L25" s="23">
        <f t="shared" si="9"/>
        <v>-1.142857142857143</v>
      </c>
    </row>
    <row r="26" spans="1:12" x14ac:dyDescent="0.3">
      <c r="A26" s="1">
        <v>343</v>
      </c>
      <c r="B26" s="1">
        <v>-7</v>
      </c>
      <c r="C26" s="22">
        <f t="shared" si="0"/>
        <v>-1E-3</v>
      </c>
      <c r="D26" s="22">
        <f t="shared" si="1"/>
        <v>-2E-3</v>
      </c>
      <c r="E26" s="22">
        <f t="shared" si="2"/>
        <v>-4.0000000000000001E-3</v>
      </c>
      <c r="F26" s="22">
        <f t="shared" si="3"/>
        <v>-8.0000000000000002E-3</v>
      </c>
      <c r="G26" s="22">
        <f t="shared" si="4"/>
        <v>-0.01</v>
      </c>
      <c r="H26" s="22">
        <f t="shared" si="5"/>
        <v>-0.02</v>
      </c>
      <c r="I26" s="22">
        <f t="shared" si="6"/>
        <v>-0.04</v>
      </c>
      <c r="J26" s="22">
        <f t="shared" si="7"/>
        <v>-0.08</v>
      </c>
      <c r="K26" s="23">
        <f t="shared" si="8"/>
        <v>-0.1</v>
      </c>
      <c r="L26" s="23">
        <f t="shared" si="9"/>
        <v>-1</v>
      </c>
    </row>
    <row r="27" spans="1:12" x14ac:dyDescent="0.3">
      <c r="A27" s="1">
        <v>344</v>
      </c>
      <c r="B27" s="1">
        <v>-6</v>
      </c>
      <c r="C27" s="22">
        <f t="shared" si="0"/>
        <v>-8.5714285714285721E-4</v>
      </c>
      <c r="D27" s="22">
        <f t="shared" si="1"/>
        <v>-1.7142857142857144E-3</v>
      </c>
      <c r="E27" s="22">
        <f t="shared" si="2"/>
        <v>-3.4285714285714288E-3</v>
      </c>
      <c r="F27" s="22">
        <f t="shared" si="3"/>
        <v>-6.8571428571428577E-3</v>
      </c>
      <c r="G27" s="22">
        <f t="shared" si="4"/>
        <v>-8.5714285714285719E-3</v>
      </c>
      <c r="H27" s="22">
        <f t="shared" si="5"/>
        <v>-1.7142857142857144E-2</v>
      </c>
      <c r="I27" s="22">
        <f t="shared" si="6"/>
        <v>-3.4285714285714287E-2</v>
      </c>
      <c r="J27" s="22">
        <f t="shared" si="7"/>
        <v>-6.8571428571428575E-2</v>
      </c>
      <c r="K27" s="23">
        <f t="shared" si="8"/>
        <v>-8.5714285714285715E-2</v>
      </c>
      <c r="L27" s="23">
        <f t="shared" si="9"/>
        <v>-0.85714285714285721</v>
      </c>
    </row>
    <row r="28" spans="1:12" x14ac:dyDescent="0.3">
      <c r="A28" s="1">
        <v>345</v>
      </c>
      <c r="B28" s="1">
        <v>-5</v>
      </c>
      <c r="C28" s="22">
        <f t="shared" si="0"/>
        <v>-7.1428571428571429E-4</v>
      </c>
      <c r="D28" s="22">
        <f t="shared" si="1"/>
        <v>-1.4285714285714286E-3</v>
      </c>
      <c r="E28" s="22">
        <f t="shared" si="2"/>
        <v>-2.8571428571428571E-3</v>
      </c>
      <c r="F28" s="22">
        <f t="shared" si="3"/>
        <v>-5.7142857142857143E-3</v>
      </c>
      <c r="G28" s="22">
        <f t="shared" si="4"/>
        <v>-7.1428571428571426E-3</v>
      </c>
      <c r="H28" s="22">
        <f t="shared" si="5"/>
        <v>-1.4285714285714285E-2</v>
      </c>
      <c r="I28" s="22">
        <f t="shared" si="6"/>
        <v>-2.8571428571428571E-2</v>
      </c>
      <c r="J28" s="22">
        <f t="shared" si="7"/>
        <v>-5.7142857142857141E-2</v>
      </c>
      <c r="K28" s="23">
        <f t="shared" si="8"/>
        <v>-7.1428571428571425E-2</v>
      </c>
      <c r="L28" s="23">
        <f t="shared" si="9"/>
        <v>-0.7142857142857143</v>
      </c>
    </row>
    <row r="29" spans="1:12" x14ac:dyDescent="0.3">
      <c r="A29" s="1">
        <v>346</v>
      </c>
      <c r="B29" s="1">
        <v>-4</v>
      </c>
      <c r="C29" s="22">
        <f t="shared" si="0"/>
        <v>-5.7142857142857147E-4</v>
      </c>
      <c r="D29" s="22">
        <f t="shared" si="1"/>
        <v>-1.1428571428571429E-3</v>
      </c>
      <c r="E29" s="22">
        <f t="shared" si="2"/>
        <v>-2.2857142857142859E-3</v>
      </c>
      <c r="F29" s="22">
        <f t="shared" si="3"/>
        <v>-4.5714285714285718E-3</v>
      </c>
      <c r="G29" s="22">
        <f t="shared" si="4"/>
        <v>-5.7142857142857151E-3</v>
      </c>
      <c r="H29" s="22">
        <f t="shared" si="5"/>
        <v>-1.142857142857143E-2</v>
      </c>
      <c r="I29" s="22">
        <f t="shared" si="6"/>
        <v>-2.2857142857142861E-2</v>
      </c>
      <c r="J29" s="22">
        <f t="shared" si="7"/>
        <v>-4.5714285714285721E-2</v>
      </c>
      <c r="K29" s="23">
        <f t="shared" si="8"/>
        <v>-5.7142857142857148E-2</v>
      </c>
      <c r="L29" s="23">
        <f t="shared" si="9"/>
        <v>-0.57142857142857151</v>
      </c>
    </row>
    <row r="30" spans="1:12" x14ac:dyDescent="0.3">
      <c r="A30" s="1">
        <v>347</v>
      </c>
      <c r="B30" s="1">
        <v>-3</v>
      </c>
      <c r="C30" s="22">
        <f t="shared" si="0"/>
        <v>-4.285714285714286E-4</v>
      </c>
      <c r="D30" s="22">
        <f t="shared" si="1"/>
        <v>-8.5714285714285721E-4</v>
      </c>
      <c r="E30" s="22">
        <f t="shared" si="2"/>
        <v>-1.7142857142857144E-3</v>
      </c>
      <c r="F30" s="22">
        <f t="shared" si="3"/>
        <v>-3.4285714285714288E-3</v>
      </c>
      <c r="G30" s="22">
        <f t="shared" si="4"/>
        <v>-4.2857142857142859E-3</v>
      </c>
      <c r="H30" s="22">
        <f t="shared" si="5"/>
        <v>-8.5714285714285719E-3</v>
      </c>
      <c r="I30" s="22">
        <f t="shared" si="6"/>
        <v>-1.7142857142857144E-2</v>
      </c>
      <c r="J30" s="22">
        <f t="shared" si="7"/>
        <v>-3.4285714285714287E-2</v>
      </c>
      <c r="K30" s="23">
        <f t="shared" si="8"/>
        <v>-4.2857142857142858E-2</v>
      </c>
      <c r="L30" s="23">
        <f t="shared" si="9"/>
        <v>-0.4285714285714286</v>
      </c>
    </row>
    <row r="31" spans="1:12" x14ac:dyDescent="0.3">
      <c r="A31" s="1">
        <v>348</v>
      </c>
      <c r="B31" s="1">
        <v>-2</v>
      </c>
      <c r="C31" s="22">
        <f t="shared" si="0"/>
        <v>-2.8571428571428574E-4</v>
      </c>
      <c r="D31" s="22">
        <f t="shared" si="1"/>
        <v>-5.7142857142857147E-4</v>
      </c>
      <c r="E31" s="22">
        <f t="shared" si="2"/>
        <v>-1.1428571428571429E-3</v>
      </c>
      <c r="F31" s="22">
        <f t="shared" si="3"/>
        <v>-2.2857142857142859E-3</v>
      </c>
      <c r="G31" s="22">
        <f t="shared" si="4"/>
        <v>-2.8571428571428576E-3</v>
      </c>
      <c r="H31" s="22">
        <f t="shared" si="5"/>
        <v>-5.7142857142857151E-3</v>
      </c>
      <c r="I31" s="22">
        <f t="shared" si="6"/>
        <v>-1.142857142857143E-2</v>
      </c>
      <c r="J31" s="22">
        <f t="shared" si="7"/>
        <v>-2.2857142857142861E-2</v>
      </c>
      <c r="K31" s="23">
        <f t="shared" si="8"/>
        <v>-2.8571428571428574E-2</v>
      </c>
      <c r="L31" s="23">
        <f t="shared" si="9"/>
        <v>-0.28571428571428575</v>
      </c>
    </row>
    <row r="32" spans="1:12" x14ac:dyDescent="0.3">
      <c r="A32" s="1">
        <v>349</v>
      </c>
      <c r="B32" s="1">
        <v>-1</v>
      </c>
      <c r="C32" s="22">
        <f t="shared" si="0"/>
        <v>-1.4285714285714287E-4</v>
      </c>
      <c r="D32" s="22">
        <f t="shared" si="1"/>
        <v>-2.8571428571428574E-4</v>
      </c>
      <c r="E32" s="22">
        <f t="shared" si="2"/>
        <v>-5.7142857142857147E-4</v>
      </c>
      <c r="F32" s="22">
        <f t="shared" si="3"/>
        <v>-1.1428571428571429E-3</v>
      </c>
      <c r="G32" s="22">
        <f t="shared" si="4"/>
        <v>-1.4285714285714288E-3</v>
      </c>
      <c r="H32" s="22">
        <f t="shared" si="5"/>
        <v>-2.8571428571428576E-3</v>
      </c>
      <c r="I32" s="22">
        <f t="shared" si="6"/>
        <v>-5.7142857142857151E-3</v>
      </c>
      <c r="J32" s="22">
        <f t="shared" si="7"/>
        <v>-1.142857142857143E-2</v>
      </c>
      <c r="K32" s="23">
        <f t="shared" si="8"/>
        <v>-1.4285714285714287E-2</v>
      </c>
      <c r="L32" s="26">
        <f t="shared" si="9"/>
        <v>-0.14285714285714288</v>
      </c>
    </row>
    <row r="33" spans="1:12" x14ac:dyDescent="0.3">
      <c r="A33" s="3">
        <v>350</v>
      </c>
      <c r="B33" s="3">
        <v>0</v>
      </c>
      <c r="C33" s="4">
        <f t="shared" si="0"/>
        <v>0</v>
      </c>
      <c r="D33" s="4">
        <f t="shared" si="1"/>
        <v>0</v>
      </c>
      <c r="E33" s="4">
        <f t="shared" si="2"/>
        <v>0</v>
      </c>
      <c r="F33" s="4">
        <f t="shared" si="3"/>
        <v>0</v>
      </c>
      <c r="G33" s="4">
        <f t="shared" si="4"/>
        <v>0</v>
      </c>
      <c r="H33" s="4">
        <f t="shared" si="5"/>
        <v>0</v>
      </c>
      <c r="I33" s="4">
        <f t="shared" si="6"/>
        <v>0</v>
      </c>
      <c r="J33" s="4">
        <f t="shared" si="7"/>
        <v>0</v>
      </c>
      <c r="K33" s="24">
        <f t="shared" si="8"/>
        <v>0</v>
      </c>
      <c r="L33" s="24">
        <f t="shared" si="9"/>
        <v>0</v>
      </c>
    </row>
    <row r="34" spans="1:12" x14ac:dyDescent="0.3">
      <c r="A34" s="1">
        <v>351</v>
      </c>
      <c r="B34" s="1">
        <v>1</v>
      </c>
      <c r="C34" s="22">
        <f t="shared" si="0"/>
        <v>1.4285714285714287E-4</v>
      </c>
      <c r="D34" s="22">
        <f t="shared" si="1"/>
        <v>2.8571428571428574E-4</v>
      </c>
      <c r="E34" s="22">
        <f t="shared" si="2"/>
        <v>5.7142857142857147E-4</v>
      </c>
      <c r="F34" s="22">
        <f t="shared" si="3"/>
        <v>1.1428571428571429E-3</v>
      </c>
      <c r="G34" s="22">
        <f t="shared" si="4"/>
        <v>1.4285714285714288E-3</v>
      </c>
      <c r="H34" s="22">
        <f t="shared" si="5"/>
        <v>2.8571428571428576E-3</v>
      </c>
      <c r="I34" s="22">
        <f t="shared" si="6"/>
        <v>5.7142857142857151E-3</v>
      </c>
      <c r="J34" s="22">
        <f t="shared" si="7"/>
        <v>1.142857142857143E-2</v>
      </c>
      <c r="K34" s="23">
        <f t="shared" si="8"/>
        <v>1.4285714285714287E-2</v>
      </c>
      <c r="L34" s="26">
        <f t="shared" si="9"/>
        <v>0.14285714285714288</v>
      </c>
    </row>
    <row r="35" spans="1:12" x14ac:dyDescent="0.3">
      <c r="A35" s="1">
        <v>352</v>
      </c>
      <c r="B35" s="3">
        <v>2</v>
      </c>
      <c r="C35" s="22">
        <f t="shared" si="0"/>
        <v>2.8571428571428574E-4</v>
      </c>
      <c r="D35" s="22">
        <f t="shared" si="1"/>
        <v>5.7142857142857147E-4</v>
      </c>
      <c r="E35" s="22">
        <f t="shared" si="2"/>
        <v>1.1428571428571429E-3</v>
      </c>
      <c r="F35" s="22">
        <f t="shared" si="3"/>
        <v>2.2857142857142859E-3</v>
      </c>
      <c r="G35" s="22">
        <f t="shared" si="4"/>
        <v>2.8571428571428576E-3</v>
      </c>
      <c r="H35" s="22">
        <f t="shared" si="5"/>
        <v>5.7142857142857151E-3</v>
      </c>
      <c r="I35" s="22">
        <f t="shared" si="6"/>
        <v>1.142857142857143E-2</v>
      </c>
      <c r="J35" s="22">
        <f t="shared" si="7"/>
        <v>2.2857142857142861E-2</v>
      </c>
      <c r="K35" s="23">
        <f t="shared" si="8"/>
        <v>2.8571428571428574E-2</v>
      </c>
      <c r="L35" s="23">
        <f t="shared" si="9"/>
        <v>0.28571428571428575</v>
      </c>
    </row>
    <row r="36" spans="1:12" x14ac:dyDescent="0.3">
      <c r="A36" s="1">
        <v>353</v>
      </c>
      <c r="B36" s="1">
        <v>3</v>
      </c>
      <c r="C36" s="22">
        <f t="shared" si="0"/>
        <v>4.285714285714286E-4</v>
      </c>
      <c r="D36" s="22">
        <f t="shared" si="1"/>
        <v>8.5714285714285721E-4</v>
      </c>
      <c r="E36" s="22">
        <f t="shared" si="2"/>
        <v>1.7142857142857144E-3</v>
      </c>
      <c r="F36" s="22">
        <f t="shared" si="3"/>
        <v>3.4285714285714288E-3</v>
      </c>
      <c r="G36" s="22">
        <f t="shared" si="4"/>
        <v>4.2857142857142859E-3</v>
      </c>
      <c r="H36" s="22">
        <f t="shared" si="5"/>
        <v>8.5714285714285719E-3</v>
      </c>
      <c r="I36" s="22">
        <f t="shared" si="6"/>
        <v>1.7142857142857144E-2</v>
      </c>
      <c r="J36" s="22">
        <f t="shared" si="7"/>
        <v>3.4285714285714287E-2</v>
      </c>
      <c r="K36" s="23">
        <f t="shared" si="8"/>
        <v>4.2857142857142858E-2</v>
      </c>
      <c r="L36" s="23">
        <f t="shared" si="9"/>
        <v>0.4285714285714286</v>
      </c>
    </row>
    <row r="37" spans="1:12" x14ac:dyDescent="0.3">
      <c r="A37" s="1">
        <v>354</v>
      </c>
      <c r="B37" s="3">
        <v>4</v>
      </c>
      <c r="C37" s="22">
        <f t="shared" si="0"/>
        <v>5.7142857142857147E-4</v>
      </c>
      <c r="D37" s="22">
        <f t="shared" si="1"/>
        <v>1.1428571428571429E-3</v>
      </c>
      <c r="E37" s="22">
        <f t="shared" si="2"/>
        <v>2.2857142857142859E-3</v>
      </c>
      <c r="F37" s="22">
        <f t="shared" si="3"/>
        <v>4.5714285714285718E-3</v>
      </c>
      <c r="G37" s="22">
        <f t="shared" si="4"/>
        <v>5.7142857142857151E-3</v>
      </c>
      <c r="H37" s="22">
        <f t="shared" si="5"/>
        <v>1.142857142857143E-2</v>
      </c>
      <c r="I37" s="22">
        <f t="shared" si="6"/>
        <v>2.2857142857142861E-2</v>
      </c>
      <c r="J37" s="22">
        <f t="shared" si="7"/>
        <v>4.5714285714285721E-2</v>
      </c>
      <c r="K37" s="23">
        <f t="shared" si="8"/>
        <v>5.7142857142857148E-2</v>
      </c>
      <c r="L37" s="23">
        <f t="shared" si="9"/>
        <v>0.57142857142857151</v>
      </c>
    </row>
    <row r="38" spans="1:12" x14ac:dyDescent="0.3">
      <c r="A38" s="1">
        <v>355</v>
      </c>
      <c r="B38" s="1">
        <v>5</v>
      </c>
      <c r="C38" s="22">
        <f t="shared" si="0"/>
        <v>7.1428571428571429E-4</v>
      </c>
      <c r="D38" s="22">
        <f t="shared" si="1"/>
        <v>1.4285714285714286E-3</v>
      </c>
      <c r="E38" s="22">
        <f t="shared" si="2"/>
        <v>2.8571428571428571E-3</v>
      </c>
      <c r="F38" s="22">
        <f t="shared" si="3"/>
        <v>5.7142857142857143E-3</v>
      </c>
      <c r="G38" s="22">
        <f t="shared" si="4"/>
        <v>7.1428571428571426E-3</v>
      </c>
      <c r="H38" s="22">
        <f t="shared" si="5"/>
        <v>1.4285714285714285E-2</v>
      </c>
      <c r="I38" s="22">
        <f t="shared" si="6"/>
        <v>2.8571428571428571E-2</v>
      </c>
      <c r="J38" s="22">
        <f t="shared" si="7"/>
        <v>5.7142857142857141E-2</v>
      </c>
      <c r="K38" s="23">
        <f t="shared" si="8"/>
        <v>7.1428571428571425E-2</v>
      </c>
      <c r="L38" s="23">
        <f t="shared" si="9"/>
        <v>0.7142857142857143</v>
      </c>
    </row>
    <row r="39" spans="1:12" x14ac:dyDescent="0.3">
      <c r="A39" s="1">
        <v>356</v>
      </c>
      <c r="B39" s="3">
        <v>6</v>
      </c>
      <c r="C39" s="22">
        <f t="shared" si="0"/>
        <v>8.5714285714285721E-4</v>
      </c>
      <c r="D39" s="22">
        <f t="shared" si="1"/>
        <v>1.7142857142857144E-3</v>
      </c>
      <c r="E39" s="22">
        <f t="shared" si="2"/>
        <v>3.4285714285714288E-3</v>
      </c>
      <c r="F39" s="22">
        <f t="shared" si="3"/>
        <v>6.8571428571428577E-3</v>
      </c>
      <c r="G39" s="22">
        <f t="shared" si="4"/>
        <v>8.5714285714285719E-3</v>
      </c>
      <c r="H39" s="22">
        <f t="shared" si="5"/>
        <v>1.7142857142857144E-2</v>
      </c>
      <c r="I39" s="22">
        <f t="shared" si="6"/>
        <v>3.4285714285714287E-2</v>
      </c>
      <c r="J39" s="22">
        <f t="shared" si="7"/>
        <v>6.8571428571428575E-2</v>
      </c>
      <c r="K39" s="23">
        <f t="shared" si="8"/>
        <v>8.5714285714285715E-2</v>
      </c>
      <c r="L39" s="23">
        <f t="shared" si="9"/>
        <v>0.85714285714285721</v>
      </c>
    </row>
    <row r="40" spans="1:12" x14ac:dyDescent="0.3">
      <c r="A40" s="1">
        <v>357</v>
      </c>
      <c r="B40" s="1">
        <v>7</v>
      </c>
      <c r="C40" s="22">
        <f t="shared" si="0"/>
        <v>1E-3</v>
      </c>
      <c r="D40" s="22">
        <f t="shared" si="1"/>
        <v>2E-3</v>
      </c>
      <c r="E40" s="22">
        <f t="shared" si="2"/>
        <v>4.0000000000000001E-3</v>
      </c>
      <c r="F40" s="22">
        <f t="shared" si="3"/>
        <v>8.0000000000000002E-3</v>
      </c>
      <c r="G40" s="22">
        <f t="shared" si="4"/>
        <v>0.01</v>
      </c>
      <c r="H40" s="22">
        <f t="shared" si="5"/>
        <v>0.02</v>
      </c>
      <c r="I40" s="22">
        <f t="shared" si="6"/>
        <v>0.04</v>
      </c>
      <c r="J40" s="22">
        <f t="shared" si="7"/>
        <v>0.08</v>
      </c>
      <c r="K40" s="23">
        <f t="shared" si="8"/>
        <v>0.1</v>
      </c>
      <c r="L40" s="23">
        <f t="shared" si="9"/>
        <v>1</v>
      </c>
    </row>
    <row r="41" spans="1:12" x14ac:dyDescent="0.3">
      <c r="A41" s="1">
        <v>358</v>
      </c>
      <c r="B41" s="3">
        <v>8</v>
      </c>
      <c r="C41" s="22">
        <f t="shared" si="0"/>
        <v>1.1428571428571429E-3</v>
      </c>
      <c r="D41" s="22">
        <f t="shared" si="1"/>
        <v>2.2857142857142859E-3</v>
      </c>
      <c r="E41" s="22">
        <f t="shared" si="2"/>
        <v>4.5714285714285718E-3</v>
      </c>
      <c r="F41" s="22">
        <f t="shared" si="3"/>
        <v>9.1428571428571435E-3</v>
      </c>
      <c r="G41" s="22">
        <f t="shared" si="4"/>
        <v>1.142857142857143E-2</v>
      </c>
      <c r="H41" s="22">
        <f t="shared" si="5"/>
        <v>2.2857142857142861E-2</v>
      </c>
      <c r="I41" s="22">
        <f t="shared" si="6"/>
        <v>4.5714285714285721E-2</v>
      </c>
      <c r="J41" s="22">
        <f t="shared" si="7"/>
        <v>9.1428571428571442E-2</v>
      </c>
      <c r="K41" s="23">
        <f t="shared" si="8"/>
        <v>0.1142857142857143</v>
      </c>
      <c r="L41" s="23">
        <f t="shared" si="9"/>
        <v>1.142857142857143</v>
      </c>
    </row>
    <row r="42" spans="1:12" x14ac:dyDescent="0.3">
      <c r="A42" s="1">
        <v>359</v>
      </c>
      <c r="B42" s="1">
        <v>9</v>
      </c>
      <c r="C42" s="22">
        <f t="shared" si="0"/>
        <v>1.2857142857142859E-3</v>
      </c>
      <c r="D42" s="22">
        <f t="shared" si="1"/>
        <v>2.5714285714285717E-3</v>
      </c>
      <c r="E42" s="22">
        <f t="shared" si="2"/>
        <v>5.1428571428571435E-3</v>
      </c>
      <c r="F42" s="22">
        <f t="shared" si="3"/>
        <v>1.0285714285714287E-2</v>
      </c>
      <c r="G42" s="22">
        <f t="shared" si="4"/>
        <v>1.2857142857142859E-2</v>
      </c>
      <c r="H42" s="22">
        <f t="shared" si="5"/>
        <v>2.5714285714285717E-2</v>
      </c>
      <c r="I42" s="22">
        <f t="shared" si="6"/>
        <v>5.1428571428571435E-2</v>
      </c>
      <c r="J42" s="22">
        <f t="shared" si="7"/>
        <v>0.10285714285714287</v>
      </c>
      <c r="K42" s="23">
        <f t="shared" si="8"/>
        <v>0.12857142857142859</v>
      </c>
      <c r="L42" s="23">
        <f t="shared" si="9"/>
        <v>1.2857142857142858</v>
      </c>
    </row>
    <row r="43" spans="1:12" x14ac:dyDescent="0.3">
      <c r="A43" s="3">
        <v>360</v>
      </c>
      <c r="B43" s="3">
        <v>10</v>
      </c>
      <c r="C43" s="4">
        <f t="shared" si="0"/>
        <v>1.4285714285714286E-3</v>
      </c>
      <c r="D43" s="4">
        <f t="shared" si="1"/>
        <v>2.8571428571428571E-3</v>
      </c>
      <c r="E43" s="4">
        <f t="shared" si="2"/>
        <v>5.7142857142857143E-3</v>
      </c>
      <c r="F43" s="4">
        <f t="shared" si="3"/>
        <v>1.1428571428571429E-2</v>
      </c>
      <c r="G43" s="4">
        <f t="shared" si="4"/>
        <v>1.4285714285714285E-2</v>
      </c>
      <c r="H43" s="4">
        <f t="shared" si="5"/>
        <v>2.8571428571428571E-2</v>
      </c>
      <c r="I43" s="4">
        <f t="shared" si="6"/>
        <v>5.7142857142857141E-2</v>
      </c>
      <c r="J43" s="4">
        <f t="shared" si="7"/>
        <v>0.11428571428571428</v>
      </c>
      <c r="K43" s="26">
        <f t="shared" si="8"/>
        <v>0.14285714285714285</v>
      </c>
      <c r="L43" s="24">
        <f t="shared" si="9"/>
        <v>1.4285714285714286</v>
      </c>
    </row>
    <row r="44" spans="1:12" x14ac:dyDescent="0.3">
      <c r="A44" s="1">
        <v>361</v>
      </c>
      <c r="B44" s="1">
        <v>11</v>
      </c>
      <c r="C44" s="22">
        <f t="shared" si="0"/>
        <v>1.5714285714285717E-3</v>
      </c>
      <c r="D44" s="22">
        <f t="shared" si="1"/>
        <v>3.1428571428571434E-3</v>
      </c>
      <c r="E44" s="22">
        <f t="shared" si="2"/>
        <v>6.2857142857142868E-3</v>
      </c>
      <c r="F44" s="22">
        <f t="shared" si="3"/>
        <v>1.2571428571428574E-2</v>
      </c>
      <c r="G44" s="22">
        <f t="shared" si="4"/>
        <v>1.5714285714285715E-2</v>
      </c>
      <c r="H44" s="22">
        <f t="shared" si="5"/>
        <v>3.1428571428571431E-2</v>
      </c>
      <c r="I44" s="22">
        <f t="shared" si="6"/>
        <v>6.2857142857142861E-2</v>
      </c>
      <c r="J44" s="22">
        <f t="shared" si="7"/>
        <v>0.12571428571428572</v>
      </c>
      <c r="K44" s="23">
        <f t="shared" si="8"/>
        <v>0.15714285714285717</v>
      </c>
      <c r="L44" s="23">
        <f t="shared" si="9"/>
        <v>1.5714285714285716</v>
      </c>
    </row>
    <row r="45" spans="1:12" x14ac:dyDescent="0.3">
      <c r="A45" s="1">
        <v>362</v>
      </c>
      <c r="B45" s="3">
        <v>12</v>
      </c>
      <c r="C45" s="22">
        <f t="shared" si="0"/>
        <v>1.7142857142857144E-3</v>
      </c>
      <c r="D45" s="22">
        <f t="shared" si="1"/>
        <v>3.4285714285714288E-3</v>
      </c>
      <c r="E45" s="22">
        <f t="shared" si="2"/>
        <v>6.8571428571428577E-3</v>
      </c>
      <c r="F45" s="22">
        <f t="shared" si="3"/>
        <v>1.3714285714285715E-2</v>
      </c>
      <c r="G45" s="22">
        <f t="shared" si="4"/>
        <v>1.7142857142857144E-2</v>
      </c>
      <c r="H45" s="22">
        <f t="shared" si="5"/>
        <v>3.4285714285714287E-2</v>
      </c>
      <c r="I45" s="22">
        <f t="shared" si="6"/>
        <v>6.8571428571428575E-2</v>
      </c>
      <c r="J45" s="22">
        <f t="shared" si="7"/>
        <v>0.13714285714285715</v>
      </c>
      <c r="K45" s="23">
        <f t="shared" si="8"/>
        <v>0.17142857142857143</v>
      </c>
      <c r="L45" s="23">
        <f t="shared" si="9"/>
        <v>1.7142857142857144</v>
      </c>
    </row>
    <row r="46" spans="1:12" x14ac:dyDescent="0.3">
      <c r="A46" s="1">
        <v>363</v>
      </c>
      <c r="B46" s="1">
        <v>13</v>
      </c>
      <c r="C46" s="22">
        <f t="shared" si="0"/>
        <v>1.8571428571428573E-3</v>
      </c>
      <c r="D46" s="22">
        <f t="shared" si="1"/>
        <v>3.7142857142857147E-3</v>
      </c>
      <c r="E46" s="22">
        <f t="shared" si="2"/>
        <v>7.4285714285714293E-3</v>
      </c>
      <c r="F46" s="22">
        <f t="shared" si="3"/>
        <v>1.4857142857142859E-2</v>
      </c>
      <c r="G46" s="22">
        <f t="shared" si="4"/>
        <v>1.8571428571428572E-2</v>
      </c>
      <c r="H46" s="22">
        <f t="shared" si="5"/>
        <v>3.7142857142857144E-2</v>
      </c>
      <c r="I46" s="22">
        <f t="shared" si="6"/>
        <v>7.4285714285714288E-2</v>
      </c>
      <c r="J46" s="25">
        <f t="shared" si="7"/>
        <v>0.14857142857142858</v>
      </c>
      <c r="K46" s="23">
        <f t="shared" si="8"/>
        <v>0.18571428571428572</v>
      </c>
      <c r="L46" s="23">
        <f t="shared" si="9"/>
        <v>1.8571428571428574</v>
      </c>
    </row>
    <row r="47" spans="1:12" x14ac:dyDescent="0.3">
      <c r="A47" s="1">
        <v>364</v>
      </c>
      <c r="B47" s="3">
        <v>14</v>
      </c>
      <c r="C47" s="22">
        <f t="shared" si="0"/>
        <v>2E-3</v>
      </c>
      <c r="D47" s="22">
        <f t="shared" si="1"/>
        <v>4.0000000000000001E-3</v>
      </c>
      <c r="E47" s="22">
        <f t="shared" si="2"/>
        <v>8.0000000000000002E-3</v>
      </c>
      <c r="F47" s="22">
        <f t="shared" si="3"/>
        <v>1.6E-2</v>
      </c>
      <c r="G47" s="22">
        <f t="shared" si="4"/>
        <v>0.02</v>
      </c>
      <c r="H47" s="22">
        <f t="shared" si="5"/>
        <v>0.04</v>
      </c>
      <c r="I47" s="22">
        <f t="shared" si="6"/>
        <v>0.08</v>
      </c>
      <c r="J47" s="22">
        <f t="shared" si="7"/>
        <v>0.16</v>
      </c>
      <c r="K47" s="23">
        <f t="shared" si="8"/>
        <v>0.2</v>
      </c>
      <c r="L47" s="23">
        <f t="shared" si="9"/>
        <v>2</v>
      </c>
    </row>
    <row r="48" spans="1:12" x14ac:dyDescent="0.3">
      <c r="A48" s="1">
        <v>365</v>
      </c>
      <c r="B48" s="1">
        <v>15</v>
      </c>
      <c r="C48" s="22">
        <f t="shared" si="0"/>
        <v>2.142857142857143E-3</v>
      </c>
      <c r="D48" s="22">
        <f t="shared" si="1"/>
        <v>4.2857142857142859E-3</v>
      </c>
      <c r="E48" s="22">
        <f t="shared" si="2"/>
        <v>8.5714285714285719E-3</v>
      </c>
      <c r="F48" s="22">
        <f t="shared" si="3"/>
        <v>1.7142857142857144E-2</v>
      </c>
      <c r="G48" s="22">
        <f t="shared" si="4"/>
        <v>2.1428571428571429E-2</v>
      </c>
      <c r="H48" s="22">
        <f t="shared" si="5"/>
        <v>4.2857142857142858E-2</v>
      </c>
      <c r="I48" s="22">
        <f t="shared" si="6"/>
        <v>8.5714285714285715E-2</v>
      </c>
      <c r="J48" s="22">
        <f t="shared" si="7"/>
        <v>0.17142857142857143</v>
      </c>
      <c r="K48" s="23">
        <f t="shared" si="8"/>
        <v>0.2142857142857143</v>
      </c>
      <c r="L48" s="23">
        <f t="shared" si="9"/>
        <v>2.1428571428571428</v>
      </c>
    </row>
    <row r="49" spans="1:12" x14ac:dyDescent="0.3">
      <c r="A49" s="1">
        <v>366</v>
      </c>
      <c r="B49" s="3">
        <v>16</v>
      </c>
      <c r="C49" s="22">
        <f t="shared" si="0"/>
        <v>2.2857142857142859E-3</v>
      </c>
      <c r="D49" s="22">
        <f t="shared" si="1"/>
        <v>4.5714285714285718E-3</v>
      </c>
      <c r="E49" s="22">
        <f t="shared" si="2"/>
        <v>9.1428571428571435E-3</v>
      </c>
      <c r="F49" s="22">
        <f t="shared" si="3"/>
        <v>1.8285714285714287E-2</v>
      </c>
      <c r="G49" s="22">
        <f t="shared" si="4"/>
        <v>2.2857142857142861E-2</v>
      </c>
      <c r="H49" s="22">
        <f t="shared" si="5"/>
        <v>4.5714285714285721E-2</v>
      </c>
      <c r="I49" s="22">
        <f t="shared" si="6"/>
        <v>9.1428571428571442E-2</v>
      </c>
      <c r="J49" s="22">
        <f t="shared" si="7"/>
        <v>0.18285714285714288</v>
      </c>
      <c r="K49" s="23">
        <f t="shared" si="8"/>
        <v>0.22857142857142859</v>
      </c>
      <c r="L49" s="23">
        <f t="shared" si="9"/>
        <v>2.285714285714286</v>
      </c>
    </row>
    <row r="50" spans="1:12" x14ac:dyDescent="0.3">
      <c r="A50" s="1">
        <v>367</v>
      </c>
      <c r="B50" s="1">
        <v>17</v>
      </c>
      <c r="C50" s="22">
        <f t="shared" si="0"/>
        <v>2.4285714285714288E-3</v>
      </c>
      <c r="D50" s="22">
        <f t="shared" si="1"/>
        <v>4.8571428571428576E-3</v>
      </c>
      <c r="E50" s="22">
        <f t="shared" si="2"/>
        <v>9.7142857142857152E-3</v>
      </c>
      <c r="F50" s="22">
        <f t="shared" si="3"/>
        <v>1.942857142857143E-2</v>
      </c>
      <c r="G50" s="22">
        <f t="shared" si="4"/>
        <v>2.4285714285714289E-2</v>
      </c>
      <c r="H50" s="22">
        <f t="shared" si="5"/>
        <v>4.8571428571428578E-2</v>
      </c>
      <c r="I50" s="22">
        <f t="shared" si="6"/>
        <v>9.7142857142857156E-2</v>
      </c>
      <c r="J50" s="22">
        <f t="shared" si="7"/>
        <v>0.19428571428571431</v>
      </c>
      <c r="K50" s="23">
        <f t="shared" si="8"/>
        <v>0.24285714285714288</v>
      </c>
      <c r="L50" s="23">
        <f t="shared" si="9"/>
        <v>2.4285714285714288</v>
      </c>
    </row>
    <row r="51" spans="1:12" x14ac:dyDescent="0.3">
      <c r="A51" s="1">
        <v>368</v>
      </c>
      <c r="B51" s="3">
        <v>18</v>
      </c>
      <c r="C51" s="22">
        <f t="shared" si="0"/>
        <v>2.5714285714285717E-3</v>
      </c>
      <c r="D51" s="22">
        <f t="shared" si="1"/>
        <v>5.1428571428571435E-3</v>
      </c>
      <c r="E51" s="22">
        <f t="shared" si="2"/>
        <v>1.0285714285714287E-2</v>
      </c>
      <c r="F51" s="22">
        <f t="shared" si="3"/>
        <v>2.0571428571428574E-2</v>
      </c>
      <c r="G51" s="22">
        <f t="shared" si="4"/>
        <v>2.5714285714285717E-2</v>
      </c>
      <c r="H51" s="22">
        <f t="shared" si="5"/>
        <v>5.1428571428571435E-2</v>
      </c>
      <c r="I51" s="22">
        <f t="shared" si="6"/>
        <v>0.10285714285714287</v>
      </c>
      <c r="J51" s="22">
        <f t="shared" si="7"/>
        <v>0.20571428571428574</v>
      </c>
      <c r="K51" s="23">
        <f t="shared" si="8"/>
        <v>0.25714285714285717</v>
      </c>
      <c r="L51" s="23">
        <f t="shared" si="9"/>
        <v>2.5714285714285716</v>
      </c>
    </row>
    <row r="52" spans="1:12" x14ac:dyDescent="0.3">
      <c r="A52" s="1">
        <v>369</v>
      </c>
      <c r="B52" s="1">
        <v>19</v>
      </c>
      <c r="C52" s="22">
        <f t="shared" si="0"/>
        <v>2.7142857142857142E-3</v>
      </c>
      <c r="D52" s="22">
        <f t="shared" si="1"/>
        <v>5.4285714285714284E-3</v>
      </c>
      <c r="E52" s="22">
        <f t="shared" si="2"/>
        <v>1.0857142857142857E-2</v>
      </c>
      <c r="F52" s="22">
        <f t="shared" si="3"/>
        <v>2.1714285714285714E-2</v>
      </c>
      <c r="G52" s="22">
        <f t="shared" si="4"/>
        <v>2.7142857142857142E-2</v>
      </c>
      <c r="H52" s="22">
        <f t="shared" si="5"/>
        <v>5.4285714285714284E-2</v>
      </c>
      <c r="I52" s="22">
        <f t="shared" si="6"/>
        <v>0.10857142857142857</v>
      </c>
      <c r="J52" s="22">
        <f t="shared" si="7"/>
        <v>0.21714285714285714</v>
      </c>
      <c r="K52" s="23">
        <f t="shared" si="8"/>
        <v>0.27142857142857141</v>
      </c>
      <c r="L52" s="23">
        <f t="shared" si="9"/>
        <v>2.7142857142857144</v>
      </c>
    </row>
    <row r="53" spans="1:12" x14ac:dyDescent="0.3">
      <c r="A53" s="3">
        <v>370</v>
      </c>
      <c r="B53" s="3">
        <v>20</v>
      </c>
      <c r="C53" s="4">
        <f t="shared" si="0"/>
        <v>2.8571428571428571E-3</v>
      </c>
      <c r="D53" s="4">
        <f t="shared" si="1"/>
        <v>5.7142857142857143E-3</v>
      </c>
      <c r="E53" s="4">
        <f t="shared" si="2"/>
        <v>1.1428571428571429E-2</v>
      </c>
      <c r="F53" s="4">
        <f t="shared" si="3"/>
        <v>2.2857142857142857E-2</v>
      </c>
      <c r="G53" s="4">
        <f t="shared" si="4"/>
        <v>2.8571428571428571E-2</v>
      </c>
      <c r="H53" s="4">
        <f t="shared" si="5"/>
        <v>5.7142857142857141E-2</v>
      </c>
      <c r="I53" s="4">
        <f t="shared" si="6"/>
        <v>0.11428571428571428</v>
      </c>
      <c r="J53" s="4">
        <f t="shared" si="7"/>
        <v>0.22857142857142856</v>
      </c>
      <c r="K53" s="24">
        <f t="shared" si="8"/>
        <v>0.2857142857142857</v>
      </c>
      <c r="L53" s="24">
        <f t="shared" si="9"/>
        <v>2.8571428571428572</v>
      </c>
    </row>
    <row r="54" spans="1:12" x14ac:dyDescent="0.3">
      <c r="A54" s="1">
        <v>371</v>
      </c>
      <c r="B54" s="1">
        <v>21</v>
      </c>
      <c r="C54" s="22">
        <f t="shared" si="0"/>
        <v>3.0000000000000001E-3</v>
      </c>
      <c r="D54" s="22">
        <f t="shared" si="1"/>
        <v>6.0000000000000001E-3</v>
      </c>
      <c r="E54" s="22">
        <f t="shared" si="2"/>
        <v>1.2E-2</v>
      </c>
      <c r="F54" s="22">
        <f t="shared" si="3"/>
        <v>2.4E-2</v>
      </c>
      <c r="G54" s="22">
        <f t="shared" si="4"/>
        <v>0.03</v>
      </c>
      <c r="H54" s="22">
        <f t="shared" si="5"/>
        <v>0.06</v>
      </c>
      <c r="I54" s="22">
        <f t="shared" si="6"/>
        <v>0.12</v>
      </c>
      <c r="J54" s="22">
        <f t="shared" si="7"/>
        <v>0.24</v>
      </c>
      <c r="K54" s="23">
        <f t="shared" si="8"/>
        <v>0.3</v>
      </c>
      <c r="L54" s="23">
        <f t="shared" si="9"/>
        <v>3</v>
      </c>
    </row>
    <row r="55" spans="1:12" x14ac:dyDescent="0.3">
      <c r="A55" s="1">
        <v>372</v>
      </c>
      <c r="B55" s="3">
        <v>22</v>
      </c>
      <c r="C55" s="22">
        <f t="shared" si="0"/>
        <v>3.1428571428571434E-3</v>
      </c>
      <c r="D55" s="22">
        <f t="shared" si="1"/>
        <v>6.2857142857142868E-3</v>
      </c>
      <c r="E55" s="22">
        <f t="shared" si="2"/>
        <v>1.2571428571428574E-2</v>
      </c>
      <c r="F55" s="22">
        <f t="shared" si="3"/>
        <v>2.5142857142857147E-2</v>
      </c>
      <c r="G55" s="22">
        <f t="shared" si="4"/>
        <v>3.1428571428571431E-2</v>
      </c>
      <c r="H55" s="22">
        <f t="shared" si="5"/>
        <v>6.2857142857142861E-2</v>
      </c>
      <c r="I55" s="22">
        <f t="shared" si="6"/>
        <v>0.12571428571428572</v>
      </c>
      <c r="J55" s="22">
        <f t="shared" si="7"/>
        <v>0.25142857142857145</v>
      </c>
      <c r="K55" s="23">
        <f t="shared" si="8"/>
        <v>0.31428571428571433</v>
      </c>
      <c r="L55" s="23">
        <f t="shared" si="9"/>
        <v>3.1428571428571432</v>
      </c>
    </row>
    <row r="56" spans="1:12" x14ac:dyDescent="0.3">
      <c r="A56" s="1">
        <v>373</v>
      </c>
      <c r="B56" s="1">
        <v>23</v>
      </c>
      <c r="C56" s="22">
        <f t="shared" si="0"/>
        <v>3.2857142857142859E-3</v>
      </c>
      <c r="D56" s="22">
        <f t="shared" si="1"/>
        <v>6.5714285714285718E-3</v>
      </c>
      <c r="E56" s="22">
        <f t="shared" si="2"/>
        <v>1.3142857142857144E-2</v>
      </c>
      <c r="F56" s="22">
        <f t="shared" si="3"/>
        <v>2.6285714285714287E-2</v>
      </c>
      <c r="G56" s="22">
        <f t="shared" si="4"/>
        <v>3.2857142857142863E-2</v>
      </c>
      <c r="H56" s="22">
        <f t="shared" si="5"/>
        <v>6.5714285714285725E-2</v>
      </c>
      <c r="I56" s="22">
        <f t="shared" si="6"/>
        <v>0.13142857142857145</v>
      </c>
      <c r="J56" s="22">
        <f t="shared" si="7"/>
        <v>0.2628571428571429</v>
      </c>
      <c r="K56" s="23">
        <f t="shared" si="8"/>
        <v>0.32857142857142857</v>
      </c>
      <c r="L56" s="23">
        <f t="shared" si="9"/>
        <v>3.285714285714286</v>
      </c>
    </row>
    <row r="57" spans="1:12" x14ac:dyDescent="0.3">
      <c r="A57" s="1">
        <v>374</v>
      </c>
      <c r="B57" s="3">
        <v>24</v>
      </c>
      <c r="C57" s="22">
        <f t="shared" si="0"/>
        <v>3.4285714285714288E-3</v>
      </c>
      <c r="D57" s="22">
        <f t="shared" si="1"/>
        <v>6.8571428571428577E-3</v>
      </c>
      <c r="E57" s="22">
        <f t="shared" si="2"/>
        <v>1.3714285714285715E-2</v>
      </c>
      <c r="F57" s="22">
        <f t="shared" si="3"/>
        <v>2.7428571428571431E-2</v>
      </c>
      <c r="G57" s="22">
        <f t="shared" si="4"/>
        <v>3.4285714285714287E-2</v>
      </c>
      <c r="H57" s="22">
        <f t="shared" si="5"/>
        <v>6.8571428571428575E-2</v>
      </c>
      <c r="I57" s="22">
        <f t="shared" si="6"/>
        <v>0.13714285714285715</v>
      </c>
      <c r="J57" s="22">
        <f t="shared" si="7"/>
        <v>0.2742857142857143</v>
      </c>
      <c r="K57" s="23">
        <f t="shared" si="8"/>
        <v>0.34285714285714286</v>
      </c>
      <c r="L57" s="23">
        <f t="shared" si="9"/>
        <v>3.4285714285714288</v>
      </c>
    </row>
    <row r="58" spans="1:12" x14ac:dyDescent="0.3">
      <c r="A58" s="1">
        <v>375</v>
      </c>
      <c r="B58" s="1">
        <v>25</v>
      </c>
      <c r="C58" s="22">
        <f t="shared" si="0"/>
        <v>3.5714285714285713E-3</v>
      </c>
      <c r="D58" s="22">
        <f t="shared" si="1"/>
        <v>7.1428571428571426E-3</v>
      </c>
      <c r="E58" s="22">
        <f t="shared" si="2"/>
        <v>1.4285714285714285E-2</v>
      </c>
      <c r="F58" s="22">
        <f t="shared" si="3"/>
        <v>2.8571428571428571E-2</v>
      </c>
      <c r="G58" s="22">
        <f t="shared" si="4"/>
        <v>3.5714285714285712E-2</v>
      </c>
      <c r="H58" s="22">
        <f t="shared" si="5"/>
        <v>7.1428571428571425E-2</v>
      </c>
      <c r="I58" s="25">
        <f t="shared" si="6"/>
        <v>0.14285714285714285</v>
      </c>
      <c r="J58" s="22">
        <f t="shared" si="7"/>
        <v>0.2857142857142857</v>
      </c>
      <c r="K58" s="23">
        <f t="shared" si="8"/>
        <v>0.35714285714285715</v>
      </c>
      <c r="L58" s="23">
        <f t="shared" si="9"/>
        <v>3.5714285714285712</v>
      </c>
    </row>
    <row r="59" spans="1:12" x14ac:dyDescent="0.3">
      <c r="A59" s="1">
        <v>376</v>
      </c>
      <c r="B59" s="3">
        <v>26</v>
      </c>
      <c r="C59" s="22">
        <f t="shared" si="0"/>
        <v>3.7142857142857147E-3</v>
      </c>
      <c r="D59" s="22">
        <f t="shared" si="1"/>
        <v>7.4285714285714293E-3</v>
      </c>
      <c r="E59" s="22">
        <f t="shared" si="2"/>
        <v>1.4857142857142859E-2</v>
      </c>
      <c r="F59" s="22">
        <f t="shared" si="3"/>
        <v>2.9714285714285717E-2</v>
      </c>
      <c r="G59" s="22">
        <f t="shared" si="4"/>
        <v>3.7142857142857144E-2</v>
      </c>
      <c r="H59" s="22">
        <f t="shared" si="5"/>
        <v>7.4285714285714288E-2</v>
      </c>
      <c r="I59" s="22">
        <f t="shared" si="6"/>
        <v>0.14857142857142858</v>
      </c>
      <c r="J59" s="22">
        <f t="shared" si="7"/>
        <v>0.29714285714285715</v>
      </c>
      <c r="K59" s="23">
        <f t="shared" si="8"/>
        <v>0.37142857142857144</v>
      </c>
      <c r="L59" s="23">
        <f t="shared" si="9"/>
        <v>3.7142857142857149</v>
      </c>
    </row>
    <row r="60" spans="1:12" x14ac:dyDescent="0.3">
      <c r="A60" s="1">
        <v>377</v>
      </c>
      <c r="B60" s="1">
        <v>27</v>
      </c>
      <c r="C60" s="22">
        <f t="shared" si="0"/>
        <v>3.8571428571428572E-3</v>
      </c>
      <c r="D60" s="22">
        <f t="shared" si="1"/>
        <v>7.7142857142857143E-3</v>
      </c>
      <c r="E60" s="22">
        <f t="shared" si="2"/>
        <v>1.5428571428571429E-2</v>
      </c>
      <c r="F60" s="22">
        <f t="shared" si="3"/>
        <v>3.0857142857142857E-2</v>
      </c>
      <c r="G60" s="22">
        <f t="shared" si="4"/>
        <v>3.8571428571428569E-2</v>
      </c>
      <c r="H60" s="22">
        <f t="shared" si="5"/>
        <v>7.7142857142857138E-2</v>
      </c>
      <c r="I60" s="22">
        <f t="shared" si="6"/>
        <v>0.15428571428571428</v>
      </c>
      <c r="J60" s="22">
        <f t="shared" si="7"/>
        <v>0.30857142857142855</v>
      </c>
      <c r="K60" s="23">
        <f t="shared" si="8"/>
        <v>0.38571428571428573</v>
      </c>
      <c r="L60" s="23">
        <f t="shared" si="9"/>
        <v>3.8571428571428572</v>
      </c>
    </row>
    <row r="61" spans="1:12" x14ac:dyDescent="0.3">
      <c r="A61" s="1">
        <v>378</v>
      </c>
      <c r="B61" s="3">
        <v>28</v>
      </c>
      <c r="C61" s="22">
        <f t="shared" si="0"/>
        <v>4.0000000000000001E-3</v>
      </c>
      <c r="D61" s="22">
        <f t="shared" si="1"/>
        <v>8.0000000000000002E-3</v>
      </c>
      <c r="E61" s="22">
        <f t="shared" si="2"/>
        <v>1.6E-2</v>
      </c>
      <c r="F61" s="22">
        <f t="shared" si="3"/>
        <v>3.2000000000000001E-2</v>
      </c>
      <c r="G61" s="22">
        <f t="shared" si="4"/>
        <v>0.04</v>
      </c>
      <c r="H61" s="22">
        <f t="shared" si="5"/>
        <v>0.08</v>
      </c>
      <c r="I61" s="22">
        <f t="shared" si="6"/>
        <v>0.16</v>
      </c>
      <c r="J61" s="22">
        <f t="shared" si="7"/>
        <v>0.32</v>
      </c>
      <c r="K61" s="23">
        <f t="shared" si="8"/>
        <v>0.4</v>
      </c>
      <c r="L61" s="23">
        <f t="shared" si="9"/>
        <v>4</v>
      </c>
    </row>
    <row r="62" spans="1:12" x14ac:dyDescent="0.3">
      <c r="A62" s="1">
        <v>379</v>
      </c>
      <c r="B62" s="1">
        <v>29</v>
      </c>
      <c r="C62" s="22">
        <f t="shared" si="0"/>
        <v>4.1428571428571426E-3</v>
      </c>
      <c r="D62" s="22">
        <f t="shared" si="1"/>
        <v>8.2857142857142851E-3</v>
      </c>
      <c r="E62" s="22">
        <f t="shared" si="2"/>
        <v>1.657142857142857E-2</v>
      </c>
      <c r="F62" s="22">
        <f t="shared" si="3"/>
        <v>3.3142857142857141E-2</v>
      </c>
      <c r="G62" s="22">
        <f t="shared" si="4"/>
        <v>4.1428571428571426E-2</v>
      </c>
      <c r="H62" s="22">
        <f t="shared" si="5"/>
        <v>8.2857142857142851E-2</v>
      </c>
      <c r="I62" s="22">
        <f t="shared" si="6"/>
        <v>0.1657142857142857</v>
      </c>
      <c r="J62" s="22">
        <f t="shared" si="7"/>
        <v>0.33142857142857141</v>
      </c>
      <c r="K62" s="23">
        <f t="shared" si="8"/>
        <v>0.41428571428571426</v>
      </c>
      <c r="L62" s="23">
        <f t="shared" si="9"/>
        <v>4.1428571428571423</v>
      </c>
    </row>
    <row r="63" spans="1:12" x14ac:dyDescent="0.3">
      <c r="A63" s="3">
        <v>380</v>
      </c>
      <c r="B63" s="3">
        <v>30</v>
      </c>
      <c r="C63" s="4">
        <f t="shared" si="0"/>
        <v>4.2857142857142859E-3</v>
      </c>
      <c r="D63" s="4">
        <f t="shared" si="1"/>
        <v>8.5714285714285719E-3</v>
      </c>
      <c r="E63" s="4">
        <f t="shared" si="2"/>
        <v>1.7142857142857144E-2</v>
      </c>
      <c r="F63" s="4">
        <f t="shared" si="3"/>
        <v>3.4285714285714287E-2</v>
      </c>
      <c r="G63" s="4">
        <f t="shared" si="4"/>
        <v>4.2857142857142858E-2</v>
      </c>
      <c r="H63" s="4">
        <f t="shared" ref="H63" si="10">(((350*A63)-122500)*2)/(7*(A63+350))</f>
        <v>4.1095890410958908</v>
      </c>
      <c r="I63" s="4">
        <f t="shared" si="6"/>
        <v>0.17142857142857143</v>
      </c>
      <c r="J63" s="4">
        <f t="shared" si="7"/>
        <v>0.34285714285714286</v>
      </c>
      <c r="K63" s="24">
        <f t="shared" si="8"/>
        <v>0.4285714285714286</v>
      </c>
      <c r="L63" s="24">
        <f t="shared" si="9"/>
        <v>4.2857142857142856</v>
      </c>
    </row>
  </sheetData>
  <mergeCells count="1">
    <mergeCell ref="A1:J1"/>
  </mergeCells>
  <phoneticPr fontId="1" type="noConversion"/>
  <printOptions horizontalCentered="1"/>
  <pageMargins left="0.59055118110236227" right="0.51181102362204722" top="0.74803149606299213" bottom="0.39370078740157483" header="0.31496062992125984" footer="0.31496062992125984"/>
  <pageSetup paperSize="9" scale="8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F9AD-A104-4012-B20D-931D6F10F23E}">
  <dimension ref="A1:M213"/>
  <sheetViews>
    <sheetView view="pageBreakPreview" zoomScaleNormal="100" zoomScaleSheetLayoutView="100" workbookViewId="0">
      <pane ySplit="2" topLeftCell="A162" activePane="bottomLeft" state="frozen"/>
      <selection pane="bottomLeft" activeCell="M3" sqref="M3:M213"/>
    </sheetView>
  </sheetViews>
  <sheetFormatPr defaultRowHeight="15" customHeight="1" x14ac:dyDescent="0.3"/>
  <cols>
    <col min="1" max="2" width="10.25" style="8" customWidth="1"/>
    <col min="3" max="12" width="9" style="6"/>
    <col min="13" max="13" width="10.25" style="10" bestFit="1" customWidth="1"/>
    <col min="14" max="16384" width="9" style="6"/>
  </cols>
  <sheetData>
    <row r="1" spans="1:13" ht="24.95" customHeight="1" x14ac:dyDescent="0.3">
      <c r="A1" s="33" t="s">
        <v>2</v>
      </c>
      <c r="B1" s="33"/>
      <c r="C1" s="33"/>
      <c r="D1" s="33"/>
      <c r="E1" s="33"/>
      <c r="F1" s="33"/>
      <c r="G1" s="33"/>
      <c r="H1" s="33"/>
      <c r="I1" s="33"/>
      <c r="J1" s="33"/>
      <c r="K1" s="8"/>
    </row>
    <row r="2" spans="1:13" ht="27" customHeight="1" x14ac:dyDescent="0.3">
      <c r="A2" s="11" t="s">
        <v>0</v>
      </c>
      <c r="B2" s="12"/>
      <c r="C2" s="5">
        <v>1</v>
      </c>
      <c r="D2" s="5">
        <v>2</v>
      </c>
      <c r="E2" s="5">
        <v>4</v>
      </c>
      <c r="F2" s="5">
        <v>8</v>
      </c>
      <c r="G2" s="5">
        <v>10</v>
      </c>
      <c r="H2" s="5">
        <v>20</v>
      </c>
      <c r="I2" s="5">
        <v>40</v>
      </c>
      <c r="J2" s="5">
        <v>80</v>
      </c>
      <c r="K2" s="5">
        <v>100</v>
      </c>
      <c r="L2" s="29">
        <v>1000</v>
      </c>
      <c r="M2" s="5">
        <v>10</v>
      </c>
    </row>
    <row r="3" spans="1:13" ht="15" customHeight="1" x14ac:dyDescent="0.3">
      <c r="A3" s="9">
        <v>900</v>
      </c>
      <c r="B3" s="5">
        <v>-100</v>
      </c>
      <c r="C3" s="15">
        <f>(1/2)*(B3/1000)*1</f>
        <v>-0.05</v>
      </c>
      <c r="D3" s="15">
        <f>C3*2</f>
        <v>-0.1</v>
      </c>
      <c r="E3" s="15">
        <f>C3*4</f>
        <v>-0.2</v>
      </c>
      <c r="F3" s="15">
        <f>C3*8</f>
        <v>-0.4</v>
      </c>
      <c r="G3" s="15">
        <f>C3*10</f>
        <v>-0.5</v>
      </c>
      <c r="H3" s="15">
        <f>C3*20</f>
        <v>-1</v>
      </c>
      <c r="I3" s="15">
        <f>C3*40</f>
        <v>-2</v>
      </c>
      <c r="J3" s="15">
        <f>C3*80</f>
        <v>-4</v>
      </c>
      <c r="K3" s="15">
        <f>C3*100</f>
        <v>-5</v>
      </c>
      <c r="L3" s="15">
        <f>C3*1000</f>
        <v>-50</v>
      </c>
      <c r="M3" s="34">
        <f>200*G3+1000</f>
        <v>900</v>
      </c>
    </row>
    <row r="4" spans="1:13" ht="15" customHeight="1" x14ac:dyDescent="0.3">
      <c r="A4" s="5">
        <v>901</v>
      </c>
      <c r="B4" s="5">
        <v>-99</v>
      </c>
      <c r="C4" s="27">
        <f t="shared" ref="C4:C67" si="0">(1/2)*(B4/1000)*1</f>
        <v>-4.9500000000000002E-2</v>
      </c>
      <c r="D4" s="27">
        <f t="shared" ref="D4:D67" si="1">C4*2</f>
        <v>-9.9000000000000005E-2</v>
      </c>
      <c r="E4" s="27">
        <f t="shared" ref="E4:E67" si="2">C4*4</f>
        <v>-0.19800000000000001</v>
      </c>
      <c r="F4" s="27">
        <f t="shared" ref="F4:F67" si="3">C4*8</f>
        <v>-0.39600000000000002</v>
      </c>
      <c r="G4" s="27">
        <f t="shared" ref="G4:G67" si="4">C4*10</f>
        <v>-0.495</v>
      </c>
      <c r="H4" s="27">
        <f t="shared" ref="H4:H67" si="5">C4*20</f>
        <v>-0.99</v>
      </c>
      <c r="I4" s="27">
        <f t="shared" ref="I4:I67" si="6">C4*40</f>
        <v>-1.98</v>
      </c>
      <c r="J4" s="27">
        <f t="shared" ref="J4:J67" si="7">C4*80</f>
        <v>-3.96</v>
      </c>
      <c r="K4" s="27">
        <f t="shared" ref="K4:K67" si="8">C4*100</f>
        <v>-4.95</v>
      </c>
      <c r="L4" s="27">
        <f t="shared" ref="L4:L67" si="9">C4*1000</f>
        <v>-49.5</v>
      </c>
      <c r="M4" s="34">
        <f t="shared" ref="M4:M67" si="10">200*G4+1000</f>
        <v>901</v>
      </c>
    </row>
    <row r="5" spans="1:13" ht="15" customHeight="1" x14ac:dyDescent="0.3">
      <c r="A5" s="5">
        <v>902</v>
      </c>
      <c r="B5" s="5">
        <v>-98</v>
      </c>
      <c r="C5" s="27">
        <f t="shared" si="0"/>
        <v>-4.9000000000000002E-2</v>
      </c>
      <c r="D5" s="27">
        <f t="shared" si="1"/>
        <v>-9.8000000000000004E-2</v>
      </c>
      <c r="E5" s="27">
        <f t="shared" si="2"/>
        <v>-0.19600000000000001</v>
      </c>
      <c r="F5" s="27">
        <f t="shared" si="3"/>
        <v>-0.39200000000000002</v>
      </c>
      <c r="G5" s="27">
        <f t="shared" si="4"/>
        <v>-0.49</v>
      </c>
      <c r="H5" s="27">
        <f t="shared" si="5"/>
        <v>-0.98</v>
      </c>
      <c r="I5" s="27">
        <f t="shared" si="6"/>
        <v>-1.96</v>
      </c>
      <c r="J5" s="27">
        <f t="shared" si="7"/>
        <v>-3.92</v>
      </c>
      <c r="K5" s="27">
        <f t="shared" si="8"/>
        <v>-4.9000000000000004</v>
      </c>
      <c r="L5" s="27">
        <f t="shared" si="9"/>
        <v>-49</v>
      </c>
      <c r="M5" s="34">
        <f t="shared" si="10"/>
        <v>902</v>
      </c>
    </row>
    <row r="6" spans="1:13" ht="15" customHeight="1" x14ac:dyDescent="0.3">
      <c r="A6" s="5">
        <v>903</v>
      </c>
      <c r="B6" s="5">
        <v>-97</v>
      </c>
      <c r="C6" s="27">
        <f t="shared" si="0"/>
        <v>-4.8500000000000001E-2</v>
      </c>
      <c r="D6" s="27">
        <f t="shared" si="1"/>
        <v>-9.7000000000000003E-2</v>
      </c>
      <c r="E6" s="27">
        <f t="shared" si="2"/>
        <v>-0.19400000000000001</v>
      </c>
      <c r="F6" s="27">
        <f t="shared" si="3"/>
        <v>-0.38800000000000001</v>
      </c>
      <c r="G6" s="27">
        <f t="shared" si="4"/>
        <v>-0.48499999999999999</v>
      </c>
      <c r="H6" s="27">
        <f t="shared" si="5"/>
        <v>-0.97</v>
      </c>
      <c r="I6" s="27">
        <f t="shared" si="6"/>
        <v>-1.94</v>
      </c>
      <c r="J6" s="27">
        <f t="shared" si="7"/>
        <v>-3.88</v>
      </c>
      <c r="K6" s="27">
        <f t="shared" si="8"/>
        <v>-4.8500000000000005</v>
      </c>
      <c r="L6" s="27">
        <f t="shared" si="9"/>
        <v>-48.5</v>
      </c>
      <c r="M6" s="34">
        <f t="shared" si="10"/>
        <v>903</v>
      </c>
    </row>
    <row r="7" spans="1:13" ht="15" customHeight="1" x14ac:dyDescent="0.3">
      <c r="A7" s="5">
        <v>904</v>
      </c>
      <c r="B7" s="5">
        <v>-96</v>
      </c>
      <c r="C7" s="27">
        <f t="shared" si="0"/>
        <v>-4.8000000000000001E-2</v>
      </c>
      <c r="D7" s="27">
        <f t="shared" si="1"/>
        <v>-9.6000000000000002E-2</v>
      </c>
      <c r="E7" s="27">
        <f t="shared" si="2"/>
        <v>-0.192</v>
      </c>
      <c r="F7" s="27">
        <f t="shared" si="3"/>
        <v>-0.38400000000000001</v>
      </c>
      <c r="G7" s="27">
        <f t="shared" si="4"/>
        <v>-0.48</v>
      </c>
      <c r="H7" s="27">
        <f t="shared" si="5"/>
        <v>-0.96</v>
      </c>
      <c r="I7" s="27">
        <f t="shared" si="6"/>
        <v>-1.92</v>
      </c>
      <c r="J7" s="27">
        <f t="shared" si="7"/>
        <v>-3.84</v>
      </c>
      <c r="K7" s="27">
        <f t="shared" si="8"/>
        <v>-4.8</v>
      </c>
      <c r="L7" s="27">
        <f t="shared" si="9"/>
        <v>-48</v>
      </c>
      <c r="M7" s="34">
        <f t="shared" si="10"/>
        <v>904</v>
      </c>
    </row>
    <row r="8" spans="1:13" ht="15" customHeight="1" x14ac:dyDescent="0.3">
      <c r="A8" s="5">
        <v>905</v>
      </c>
      <c r="B8" s="5">
        <v>-95</v>
      </c>
      <c r="C8" s="27">
        <f t="shared" si="0"/>
        <v>-4.7500000000000001E-2</v>
      </c>
      <c r="D8" s="27">
        <f t="shared" si="1"/>
        <v>-9.5000000000000001E-2</v>
      </c>
      <c r="E8" s="27">
        <f t="shared" si="2"/>
        <v>-0.19</v>
      </c>
      <c r="F8" s="27">
        <f t="shared" si="3"/>
        <v>-0.38</v>
      </c>
      <c r="G8" s="27">
        <f t="shared" si="4"/>
        <v>-0.47499999999999998</v>
      </c>
      <c r="H8" s="27">
        <f t="shared" si="5"/>
        <v>-0.95</v>
      </c>
      <c r="I8" s="27">
        <f t="shared" si="6"/>
        <v>-1.9</v>
      </c>
      <c r="J8" s="27">
        <f t="shared" si="7"/>
        <v>-3.8</v>
      </c>
      <c r="K8" s="27">
        <f t="shared" si="8"/>
        <v>-4.75</v>
      </c>
      <c r="L8" s="27">
        <f t="shared" si="9"/>
        <v>-47.5</v>
      </c>
      <c r="M8" s="34">
        <f t="shared" si="10"/>
        <v>905</v>
      </c>
    </row>
    <row r="9" spans="1:13" ht="15" customHeight="1" x14ac:dyDescent="0.3">
      <c r="A9" s="5">
        <v>906</v>
      </c>
      <c r="B9" s="5">
        <v>-94</v>
      </c>
      <c r="C9" s="27">
        <f t="shared" si="0"/>
        <v>-4.7E-2</v>
      </c>
      <c r="D9" s="27">
        <f t="shared" si="1"/>
        <v>-9.4E-2</v>
      </c>
      <c r="E9" s="27">
        <f t="shared" si="2"/>
        <v>-0.188</v>
      </c>
      <c r="F9" s="27">
        <f t="shared" si="3"/>
        <v>-0.376</v>
      </c>
      <c r="G9" s="27">
        <f t="shared" si="4"/>
        <v>-0.47</v>
      </c>
      <c r="H9" s="27">
        <f t="shared" si="5"/>
        <v>-0.94</v>
      </c>
      <c r="I9" s="27">
        <f t="shared" si="6"/>
        <v>-1.88</v>
      </c>
      <c r="J9" s="27">
        <f t="shared" si="7"/>
        <v>-3.76</v>
      </c>
      <c r="K9" s="27">
        <f t="shared" si="8"/>
        <v>-4.7</v>
      </c>
      <c r="L9" s="27">
        <f t="shared" si="9"/>
        <v>-47</v>
      </c>
      <c r="M9" s="34">
        <f t="shared" si="10"/>
        <v>906</v>
      </c>
    </row>
    <row r="10" spans="1:13" ht="15" customHeight="1" x14ac:dyDescent="0.3">
      <c r="A10" s="5">
        <v>907</v>
      </c>
      <c r="B10" s="5">
        <v>-93</v>
      </c>
      <c r="C10" s="27">
        <f t="shared" si="0"/>
        <v>-4.65E-2</v>
      </c>
      <c r="D10" s="27">
        <f t="shared" si="1"/>
        <v>-9.2999999999999999E-2</v>
      </c>
      <c r="E10" s="27">
        <f t="shared" si="2"/>
        <v>-0.186</v>
      </c>
      <c r="F10" s="27">
        <f t="shared" si="3"/>
        <v>-0.372</v>
      </c>
      <c r="G10" s="27">
        <f t="shared" si="4"/>
        <v>-0.46499999999999997</v>
      </c>
      <c r="H10" s="27">
        <f t="shared" si="5"/>
        <v>-0.92999999999999994</v>
      </c>
      <c r="I10" s="27">
        <f t="shared" si="6"/>
        <v>-1.8599999999999999</v>
      </c>
      <c r="J10" s="27">
        <f t="shared" si="7"/>
        <v>-3.7199999999999998</v>
      </c>
      <c r="K10" s="27">
        <f t="shared" si="8"/>
        <v>-4.6500000000000004</v>
      </c>
      <c r="L10" s="27">
        <f t="shared" si="9"/>
        <v>-46.5</v>
      </c>
      <c r="M10" s="34">
        <f t="shared" si="10"/>
        <v>907</v>
      </c>
    </row>
    <row r="11" spans="1:13" ht="15" customHeight="1" x14ac:dyDescent="0.3">
      <c r="A11" s="5">
        <v>908</v>
      </c>
      <c r="B11" s="5">
        <v>-92</v>
      </c>
      <c r="C11" s="27">
        <f t="shared" si="0"/>
        <v>-4.5999999999999999E-2</v>
      </c>
      <c r="D11" s="27">
        <f t="shared" si="1"/>
        <v>-9.1999999999999998E-2</v>
      </c>
      <c r="E11" s="27">
        <f t="shared" si="2"/>
        <v>-0.184</v>
      </c>
      <c r="F11" s="27">
        <f t="shared" si="3"/>
        <v>-0.36799999999999999</v>
      </c>
      <c r="G11" s="27">
        <f t="shared" si="4"/>
        <v>-0.45999999999999996</v>
      </c>
      <c r="H11" s="27">
        <f t="shared" si="5"/>
        <v>-0.91999999999999993</v>
      </c>
      <c r="I11" s="27">
        <f t="shared" si="6"/>
        <v>-1.8399999999999999</v>
      </c>
      <c r="J11" s="27">
        <f t="shared" si="7"/>
        <v>-3.6799999999999997</v>
      </c>
      <c r="K11" s="27">
        <f t="shared" si="8"/>
        <v>-4.5999999999999996</v>
      </c>
      <c r="L11" s="27">
        <f t="shared" si="9"/>
        <v>-46</v>
      </c>
      <c r="M11" s="34">
        <f t="shared" si="10"/>
        <v>908</v>
      </c>
    </row>
    <row r="12" spans="1:13" ht="15" customHeight="1" x14ac:dyDescent="0.3">
      <c r="A12" s="5">
        <v>909</v>
      </c>
      <c r="B12" s="5">
        <v>-91</v>
      </c>
      <c r="C12" s="27">
        <f t="shared" si="0"/>
        <v>-4.5499999999999999E-2</v>
      </c>
      <c r="D12" s="27">
        <f t="shared" si="1"/>
        <v>-9.0999999999999998E-2</v>
      </c>
      <c r="E12" s="27">
        <f t="shared" si="2"/>
        <v>-0.182</v>
      </c>
      <c r="F12" s="27">
        <f t="shared" si="3"/>
        <v>-0.36399999999999999</v>
      </c>
      <c r="G12" s="27">
        <f t="shared" si="4"/>
        <v>-0.45499999999999996</v>
      </c>
      <c r="H12" s="27">
        <f t="shared" si="5"/>
        <v>-0.90999999999999992</v>
      </c>
      <c r="I12" s="27">
        <f t="shared" si="6"/>
        <v>-1.8199999999999998</v>
      </c>
      <c r="J12" s="27">
        <f t="shared" si="7"/>
        <v>-3.6399999999999997</v>
      </c>
      <c r="K12" s="27">
        <f t="shared" si="8"/>
        <v>-4.55</v>
      </c>
      <c r="L12" s="27">
        <f t="shared" si="9"/>
        <v>-45.5</v>
      </c>
      <c r="M12" s="34">
        <f t="shared" si="10"/>
        <v>909</v>
      </c>
    </row>
    <row r="13" spans="1:13" ht="15" customHeight="1" x14ac:dyDescent="0.3">
      <c r="A13" s="9">
        <v>910</v>
      </c>
      <c r="B13" s="5">
        <v>-90</v>
      </c>
      <c r="C13" s="15">
        <f t="shared" si="0"/>
        <v>-4.4999999999999998E-2</v>
      </c>
      <c r="D13" s="15">
        <f t="shared" si="1"/>
        <v>-0.09</v>
      </c>
      <c r="E13" s="15">
        <f t="shared" si="2"/>
        <v>-0.18</v>
      </c>
      <c r="F13" s="15">
        <f t="shared" si="3"/>
        <v>-0.36</v>
      </c>
      <c r="G13" s="15">
        <f t="shared" si="4"/>
        <v>-0.44999999999999996</v>
      </c>
      <c r="H13" s="15">
        <f t="shared" si="5"/>
        <v>-0.89999999999999991</v>
      </c>
      <c r="I13" s="15">
        <f t="shared" si="6"/>
        <v>-1.7999999999999998</v>
      </c>
      <c r="J13" s="15">
        <f t="shared" si="7"/>
        <v>-3.5999999999999996</v>
      </c>
      <c r="K13" s="15">
        <f t="shared" si="8"/>
        <v>-4.5</v>
      </c>
      <c r="L13" s="15">
        <f t="shared" si="9"/>
        <v>-45</v>
      </c>
      <c r="M13" s="34">
        <f t="shared" si="10"/>
        <v>910</v>
      </c>
    </row>
    <row r="14" spans="1:13" ht="15" customHeight="1" x14ac:dyDescent="0.3">
      <c r="A14" s="5">
        <v>911</v>
      </c>
      <c r="B14" s="5">
        <v>-89</v>
      </c>
      <c r="C14" s="27">
        <f t="shared" si="0"/>
        <v>-4.4499999999999998E-2</v>
      </c>
      <c r="D14" s="27">
        <f t="shared" si="1"/>
        <v>-8.8999999999999996E-2</v>
      </c>
      <c r="E14" s="27">
        <f t="shared" si="2"/>
        <v>-0.17799999999999999</v>
      </c>
      <c r="F14" s="27">
        <f t="shared" si="3"/>
        <v>-0.35599999999999998</v>
      </c>
      <c r="G14" s="27">
        <f t="shared" si="4"/>
        <v>-0.44499999999999995</v>
      </c>
      <c r="H14" s="27">
        <f t="shared" si="5"/>
        <v>-0.8899999999999999</v>
      </c>
      <c r="I14" s="27">
        <f t="shared" si="6"/>
        <v>-1.7799999999999998</v>
      </c>
      <c r="J14" s="27">
        <f t="shared" si="7"/>
        <v>-3.5599999999999996</v>
      </c>
      <c r="K14" s="27">
        <f t="shared" si="8"/>
        <v>-4.45</v>
      </c>
      <c r="L14" s="27">
        <f t="shared" si="9"/>
        <v>-44.5</v>
      </c>
      <c r="M14" s="34">
        <f t="shared" si="10"/>
        <v>911</v>
      </c>
    </row>
    <row r="15" spans="1:13" ht="15" customHeight="1" x14ac:dyDescent="0.3">
      <c r="A15" s="5">
        <v>912</v>
      </c>
      <c r="B15" s="5">
        <v>-88</v>
      </c>
      <c r="C15" s="27">
        <f t="shared" si="0"/>
        <v>-4.3999999999999997E-2</v>
      </c>
      <c r="D15" s="27">
        <f t="shared" si="1"/>
        <v>-8.7999999999999995E-2</v>
      </c>
      <c r="E15" s="27">
        <f t="shared" si="2"/>
        <v>-0.17599999999999999</v>
      </c>
      <c r="F15" s="27">
        <f t="shared" si="3"/>
        <v>-0.35199999999999998</v>
      </c>
      <c r="G15" s="27">
        <f t="shared" si="4"/>
        <v>-0.43999999999999995</v>
      </c>
      <c r="H15" s="27">
        <f t="shared" si="5"/>
        <v>-0.87999999999999989</v>
      </c>
      <c r="I15" s="27">
        <f t="shared" si="6"/>
        <v>-1.7599999999999998</v>
      </c>
      <c r="J15" s="27">
        <f t="shared" si="7"/>
        <v>-3.5199999999999996</v>
      </c>
      <c r="K15" s="27">
        <f t="shared" si="8"/>
        <v>-4.3999999999999995</v>
      </c>
      <c r="L15" s="27">
        <f t="shared" si="9"/>
        <v>-44</v>
      </c>
      <c r="M15" s="34">
        <f t="shared" si="10"/>
        <v>912</v>
      </c>
    </row>
    <row r="16" spans="1:13" ht="15" customHeight="1" x14ac:dyDescent="0.3">
      <c r="A16" s="5">
        <v>913</v>
      </c>
      <c r="B16" s="5">
        <v>-87</v>
      </c>
      <c r="C16" s="27">
        <f t="shared" si="0"/>
        <v>-4.3499999999999997E-2</v>
      </c>
      <c r="D16" s="27">
        <f t="shared" si="1"/>
        <v>-8.6999999999999994E-2</v>
      </c>
      <c r="E16" s="27">
        <f t="shared" si="2"/>
        <v>-0.17399999999999999</v>
      </c>
      <c r="F16" s="27">
        <f t="shared" si="3"/>
        <v>-0.34799999999999998</v>
      </c>
      <c r="G16" s="27">
        <f t="shared" si="4"/>
        <v>-0.43499999999999994</v>
      </c>
      <c r="H16" s="27">
        <f t="shared" si="5"/>
        <v>-0.86999999999999988</v>
      </c>
      <c r="I16" s="27">
        <f t="shared" si="6"/>
        <v>-1.7399999999999998</v>
      </c>
      <c r="J16" s="27">
        <f t="shared" si="7"/>
        <v>-3.4799999999999995</v>
      </c>
      <c r="K16" s="27">
        <f t="shared" si="8"/>
        <v>-4.3499999999999996</v>
      </c>
      <c r="L16" s="27">
        <f t="shared" si="9"/>
        <v>-43.5</v>
      </c>
      <c r="M16" s="34">
        <f t="shared" si="10"/>
        <v>913</v>
      </c>
    </row>
    <row r="17" spans="1:13" ht="15" customHeight="1" x14ac:dyDescent="0.3">
      <c r="A17" s="5">
        <v>914</v>
      </c>
      <c r="B17" s="5">
        <v>-86</v>
      </c>
      <c r="C17" s="27">
        <f t="shared" si="0"/>
        <v>-4.2999999999999997E-2</v>
      </c>
      <c r="D17" s="27">
        <f t="shared" si="1"/>
        <v>-8.5999999999999993E-2</v>
      </c>
      <c r="E17" s="27">
        <f t="shared" si="2"/>
        <v>-0.17199999999999999</v>
      </c>
      <c r="F17" s="27">
        <f t="shared" si="3"/>
        <v>-0.34399999999999997</v>
      </c>
      <c r="G17" s="27">
        <f t="shared" si="4"/>
        <v>-0.42999999999999994</v>
      </c>
      <c r="H17" s="27">
        <f t="shared" si="5"/>
        <v>-0.85999999999999988</v>
      </c>
      <c r="I17" s="27">
        <f t="shared" si="6"/>
        <v>-1.7199999999999998</v>
      </c>
      <c r="J17" s="27">
        <f t="shared" si="7"/>
        <v>-3.4399999999999995</v>
      </c>
      <c r="K17" s="27">
        <f t="shared" si="8"/>
        <v>-4.3</v>
      </c>
      <c r="L17" s="27">
        <f t="shared" si="9"/>
        <v>-43</v>
      </c>
      <c r="M17" s="34">
        <f t="shared" si="10"/>
        <v>914</v>
      </c>
    </row>
    <row r="18" spans="1:13" ht="12" x14ac:dyDescent="0.3">
      <c r="A18" s="5">
        <v>915</v>
      </c>
      <c r="B18" s="5">
        <v>-85</v>
      </c>
      <c r="C18" s="27">
        <f t="shared" si="0"/>
        <v>-4.2500000000000003E-2</v>
      </c>
      <c r="D18" s="27">
        <f t="shared" si="1"/>
        <v>-8.5000000000000006E-2</v>
      </c>
      <c r="E18" s="27">
        <f t="shared" si="2"/>
        <v>-0.17</v>
      </c>
      <c r="F18" s="27">
        <f t="shared" si="3"/>
        <v>-0.34</v>
      </c>
      <c r="G18" s="27">
        <f t="shared" si="4"/>
        <v>-0.42500000000000004</v>
      </c>
      <c r="H18" s="27">
        <f t="shared" si="5"/>
        <v>-0.85000000000000009</v>
      </c>
      <c r="I18" s="27">
        <f t="shared" si="6"/>
        <v>-1.7000000000000002</v>
      </c>
      <c r="J18" s="27">
        <f t="shared" si="7"/>
        <v>-3.4000000000000004</v>
      </c>
      <c r="K18" s="27">
        <f t="shared" si="8"/>
        <v>-4.25</v>
      </c>
      <c r="L18" s="27">
        <f t="shared" si="9"/>
        <v>-42.5</v>
      </c>
      <c r="M18" s="34">
        <f t="shared" si="10"/>
        <v>915</v>
      </c>
    </row>
    <row r="19" spans="1:13" ht="12" x14ac:dyDescent="0.3">
      <c r="A19" s="5">
        <v>916</v>
      </c>
      <c r="B19" s="5">
        <v>-84</v>
      </c>
      <c r="C19" s="27">
        <f t="shared" si="0"/>
        <v>-4.2000000000000003E-2</v>
      </c>
      <c r="D19" s="27">
        <f t="shared" si="1"/>
        <v>-8.4000000000000005E-2</v>
      </c>
      <c r="E19" s="27">
        <f t="shared" si="2"/>
        <v>-0.16800000000000001</v>
      </c>
      <c r="F19" s="27">
        <f t="shared" si="3"/>
        <v>-0.33600000000000002</v>
      </c>
      <c r="G19" s="27">
        <f t="shared" si="4"/>
        <v>-0.42000000000000004</v>
      </c>
      <c r="H19" s="27">
        <f t="shared" si="5"/>
        <v>-0.84000000000000008</v>
      </c>
      <c r="I19" s="27">
        <f t="shared" si="6"/>
        <v>-1.6800000000000002</v>
      </c>
      <c r="J19" s="27">
        <f t="shared" si="7"/>
        <v>-3.3600000000000003</v>
      </c>
      <c r="K19" s="27">
        <f t="shared" si="8"/>
        <v>-4.2</v>
      </c>
      <c r="L19" s="27">
        <f t="shared" si="9"/>
        <v>-42</v>
      </c>
      <c r="M19" s="34">
        <f t="shared" si="10"/>
        <v>916</v>
      </c>
    </row>
    <row r="20" spans="1:13" ht="12" x14ac:dyDescent="0.3">
      <c r="A20" s="5">
        <v>917</v>
      </c>
      <c r="B20" s="5">
        <v>-83</v>
      </c>
      <c r="C20" s="27">
        <f t="shared" si="0"/>
        <v>-4.1500000000000002E-2</v>
      </c>
      <c r="D20" s="27">
        <f t="shared" si="1"/>
        <v>-8.3000000000000004E-2</v>
      </c>
      <c r="E20" s="27">
        <f t="shared" si="2"/>
        <v>-0.16600000000000001</v>
      </c>
      <c r="F20" s="27">
        <f t="shared" si="3"/>
        <v>-0.33200000000000002</v>
      </c>
      <c r="G20" s="27">
        <f t="shared" si="4"/>
        <v>-0.41500000000000004</v>
      </c>
      <c r="H20" s="27">
        <f t="shared" si="5"/>
        <v>-0.83000000000000007</v>
      </c>
      <c r="I20" s="27">
        <f t="shared" si="6"/>
        <v>-1.6600000000000001</v>
      </c>
      <c r="J20" s="27">
        <f t="shared" si="7"/>
        <v>-3.3200000000000003</v>
      </c>
      <c r="K20" s="27">
        <f t="shared" si="8"/>
        <v>-4.1500000000000004</v>
      </c>
      <c r="L20" s="27">
        <f t="shared" si="9"/>
        <v>-41.5</v>
      </c>
      <c r="M20" s="34">
        <f t="shared" si="10"/>
        <v>917</v>
      </c>
    </row>
    <row r="21" spans="1:13" ht="12" x14ac:dyDescent="0.3">
      <c r="A21" s="5">
        <v>918</v>
      </c>
      <c r="B21" s="5">
        <v>-82</v>
      </c>
      <c r="C21" s="27">
        <f t="shared" si="0"/>
        <v>-4.1000000000000002E-2</v>
      </c>
      <c r="D21" s="27">
        <f t="shared" si="1"/>
        <v>-8.2000000000000003E-2</v>
      </c>
      <c r="E21" s="27">
        <f t="shared" si="2"/>
        <v>-0.16400000000000001</v>
      </c>
      <c r="F21" s="27">
        <f t="shared" si="3"/>
        <v>-0.32800000000000001</v>
      </c>
      <c r="G21" s="27">
        <f t="shared" si="4"/>
        <v>-0.41000000000000003</v>
      </c>
      <c r="H21" s="27">
        <f t="shared" si="5"/>
        <v>-0.82000000000000006</v>
      </c>
      <c r="I21" s="27">
        <f t="shared" si="6"/>
        <v>-1.6400000000000001</v>
      </c>
      <c r="J21" s="27">
        <f t="shared" si="7"/>
        <v>-3.2800000000000002</v>
      </c>
      <c r="K21" s="27">
        <f t="shared" si="8"/>
        <v>-4.1000000000000005</v>
      </c>
      <c r="L21" s="27">
        <f t="shared" si="9"/>
        <v>-41</v>
      </c>
      <c r="M21" s="34">
        <f t="shared" si="10"/>
        <v>918</v>
      </c>
    </row>
    <row r="22" spans="1:13" ht="12" x14ac:dyDescent="0.3">
      <c r="A22" s="5">
        <v>919</v>
      </c>
      <c r="B22" s="5">
        <v>-81</v>
      </c>
      <c r="C22" s="27">
        <f t="shared" si="0"/>
        <v>-4.0500000000000001E-2</v>
      </c>
      <c r="D22" s="27">
        <f t="shared" si="1"/>
        <v>-8.1000000000000003E-2</v>
      </c>
      <c r="E22" s="27">
        <f t="shared" si="2"/>
        <v>-0.16200000000000001</v>
      </c>
      <c r="F22" s="27">
        <f t="shared" si="3"/>
        <v>-0.32400000000000001</v>
      </c>
      <c r="G22" s="27">
        <f t="shared" si="4"/>
        <v>-0.40500000000000003</v>
      </c>
      <c r="H22" s="27">
        <f t="shared" si="5"/>
        <v>-0.81</v>
      </c>
      <c r="I22" s="27">
        <f t="shared" si="6"/>
        <v>-1.62</v>
      </c>
      <c r="J22" s="27">
        <f t="shared" si="7"/>
        <v>-3.24</v>
      </c>
      <c r="K22" s="27">
        <f t="shared" si="8"/>
        <v>-4.05</v>
      </c>
      <c r="L22" s="27">
        <f t="shared" si="9"/>
        <v>-40.5</v>
      </c>
      <c r="M22" s="34">
        <f t="shared" si="10"/>
        <v>919</v>
      </c>
    </row>
    <row r="23" spans="1:13" ht="12" x14ac:dyDescent="0.3">
      <c r="A23" s="9">
        <v>920</v>
      </c>
      <c r="B23" s="5">
        <v>-80</v>
      </c>
      <c r="C23" s="27">
        <f t="shared" si="0"/>
        <v>-0.04</v>
      </c>
      <c r="D23" s="27">
        <f t="shared" si="1"/>
        <v>-0.08</v>
      </c>
      <c r="E23" s="27">
        <f t="shared" si="2"/>
        <v>-0.16</v>
      </c>
      <c r="F23" s="27">
        <f t="shared" si="3"/>
        <v>-0.32</v>
      </c>
      <c r="G23" s="27">
        <f t="shared" si="4"/>
        <v>-0.4</v>
      </c>
      <c r="H23" s="27">
        <f t="shared" si="5"/>
        <v>-0.8</v>
      </c>
      <c r="I23" s="27">
        <f t="shared" si="6"/>
        <v>-1.6</v>
      </c>
      <c r="J23" s="27">
        <f t="shared" si="7"/>
        <v>-3.2</v>
      </c>
      <c r="K23" s="27">
        <f t="shared" si="8"/>
        <v>-4</v>
      </c>
      <c r="L23" s="27">
        <f t="shared" si="9"/>
        <v>-40</v>
      </c>
      <c r="M23" s="34">
        <f t="shared" si="10"/>
        <v>920</v>
      </c>
    </row>
    <row r="24" spans="1:13" ht="12" x14ac:dyDescent="0.3">
      <c r="A24" s="5">
        <v>921</v>
      </c>
      <c r="B24" s="5">
        <v>-79</v>
      </c>
      <c r="C24" s="27">
        <f t="shared" si="0"/>
        <v>-3.95E-2</v>
      </c>
      <c r="D24" s="27">
        <f t="shared" si="1"/>
        <v>-7.9000000000000001E-2</v>
      </c>
      <c r="E24" s="27">
        <f t="shared" si="2"/>
        <v>-0.158</v>
      </c>
      <c r="F24" s="27">
        <f t="shared" si="3"/>
        <v>-0.316</v>
      </c>
      <c r="G24" s="27">
        <f t="shared" si="4"/>
        <v>-0.39500000000000002</v>
      </c>
      <c r="H24" s="27">
        <f t="shared" si="5"/>
        <v>-0.79</v>
      </c>
      <c r="I24" s="27">
        <f t="shared" si="6"/>
        <v>-1.58</v>
      </c>
      <c r="J24" s="27">
        <f t="shared" si="7"/>
        <v>-3.16</v>
      </c>
      <c r="K24" s="27">
        <f t="shared" si="8"/>
        <v>-3.95</v>
      </c>
      <c r="L24" s="27">
        <f t="shared" si="9"/>
        <v>-39.5</v>
      </c>
      <c r="M24" s="34">
        <f t="shared" si="10"/>
        <v>921</v>
      </c>
    </row>
    <row r="25" spans="1:13" ht="12" x14ac:dyDescent="0.3">
      <c r="A25" s="5">
        <v>922</v>
      </c>
      <c r="B25" s="5">
        <v>-78</v>
      </c>
      <c r="C25" s="27">
        <f t="shared" si="0"/>
        <v>-3.9E-2</v>
      </c>
      <c r="D25" s="27">
        <f t="shared" si="1"/>
        <v>-7.8E-2</v>
      </c>
      <c r="E25" s="27">
        <f t="shared" si="2"/>
        <v>-0.156</v>
      </c>
      <c r="F25" s="27">
        <f t="shared" si="3"/>
        <v>-0.312</v>
      </c>
      <c r="G25" s="27">
        <f t="shared" si="4"/>
        <v>-0.39</v>
      </c>
      <c r="H25" s="27">
        <f t="shared" si="5"/>
        <v>-0.78</v>
      </c>
      <c r="I25" s="27">
        <f t="shared" si="6"/>
        <v>-1.56</v>
      </c>
      <c r="J25" s="27">
        <f t="shared" si="7"/>
        <v>-3.12</v>
      </c>
      <c r="K25" s="27">
        <f t="shared" si="8"/>
        <v>-3.9</v>
      </c>
      <c r="L25" s="27">
        <f t="shared" si="9"/>
        <v>-39</v>
      </c>
      <c r="M25" s="34">
        <f t="shared" si="10"/>
        <v>922</v>
      </c>
    </row>
    <row r="26" spans="1:13" ht="12" x14ac:dyDescent="0.3">
      <c r="A26" s="5">
        <v>923</v>
      </c>
      <c r="B26" s="5">
        <v>-77</v>
      </c>
      <c r="C26" s="27">
        <f t="shared" si="0"/>
        <v>-3.85E-2</v>
      </c>
      <c r="D26" s="27">
        <f t="shared" si="1"/>
        <v>-7.6999999999999999E-2</v>
      </c>
      <c r="E26" s="27">
        <f t="shared" si="2"/>
        <v>-0.154</v>
      </c>
      <c r="F26" s="27">
        <f t="shared" si="3"/>
        <v>-0.308</v>
      </c>
      <c r="G26" s="27">
        <f t="shared" si="4"/>
        <v>-0.38500000000000001</v>
      </c>
      <c r="H26" s="27">
        <f t="shared" si="5"/>
        <v>-0.77</v>
      </c>
      <c r="I26" s="27">
        <f t="shared" si="6"/>
        <v>-1.54</v>
      </c>
      <c r="J26" s="27">
        <f t="shared" si="7"/>
        <v>-3.08</v>
      </c>
      <c r="K26" s="27">
        <f t="shared" si="8"/>
        <v>-3.85</v>
      </c>
      <c r="L26" s="27">
        <f t="shared" si="9"/>
        <v>-38.5</v>
      </c>
      <c r="M26" s="34">
        <f t="shared" si="10"/>
        <v>923</v>
      </c>
    </row>
    <row r="27" spans="1:13" ht="12" x14ac:dyDescent="0.3">
      <c r="A27" s="5">
        <v>924</v>
      </c>
      <c r="B27" s="5">
        <v>-76</v>
      </c>
      <c r="C27" s="27">
        <f t="shared" si="0"/>
        <v>-3.7999999999999999E-2</v>
      </c>
      <c r="D27" s="27">
        <f t="shared" si="1"/>
        <v>-7.5999999999999998E-2</v>
      </c>
      <c r="E27" s="27">
        <f t="shared" si="2"/>
        <v>-0.152</v>
      </c>
      <c r="F27" s="27">
        <f t="shared" si="3"/>
        <v>-0.30399999999999999</v>
      </c>
      <c r="G27" s="27">
        <f t="shared" si="4"/>
        <v>-0.38</v>
      </c>
      <c r="H27" s="27">
        <f t="shared" si="5"/>
        <v>-0.76</v>
      </c>
      <c r="I27" s="27">
        <f t="shared" si="6"/>
        <v>-1.52</v>
      </c>
      <c r="J27" s="27">
        <f t="shared" si="7"/>
        <v>-3.04</v>
      </c>
      <c r="K27" s="27">
        <f t="shared" si="8"/>
        <v>-3.8</v>
      </c>
      <c r="L27" s="27">
        <f t="shared" si="9"/>
        <v>-38</v>
      </c>
      <c r="M27" s="34">
        <f t="shared" si="10"/>
        <v>924</v>
      </c>
    </row>
    <row r="28" spans="1:13" ht="12" x14ac:dyDescent="0.3">
      <c r="A28" s="5">
        <v>925</v>
      </c>
      <c r="B28" s="5">
        <v>-75</v>
      </c>
      <c r="C28" s="27">
        <f t="shared" si="0"/>
        <v>-3.7499999999999999E-2</v>
      </c>
      <c r="D28" s="27">
        <f t="shared" si="1"/>
        <v>-7.4999999999999997E-2</v>
      </c>
      <c r="E28" s="27">
        <f t="shared" si="2"/>
        <v>-0.15</v>
      </c>
      <c r="F28" s="27">
        <f t="shared" si="3"/>
        <v>-0.3</v>
      </c>
      <c r="G28" s="27">
        <f t="shared" si="4"/>
        <v>-0.375</v>
      </c>
      <c r="H28" s="27">
        <f t="shared" si="5"/>
        <v>-0.75</v>
      </c>
      <c r="I28" s="27">
        <f t="shared" si="6"/>
        <v>-1.5</v>
      </c>
      <c r="J28" s="27">
        <f t="shared" si="7"/>
        <v>-3</v>
      </c>
      <c r="K28" s="27">
        <f t="shared" si="8"/>
        <v>-3.75</v>
      </c>
      <c r="L28" s="27">
        <f t="shared" si="9"/>
        <v>-37.5</v>
      </c>
      <c r="M28" s="34">
        <f t="shared" si="10"/>
        <v>925</v>
      </c>
    </row>
    <row r="29" spans="1:13" ht="12" x14ac:dyDescent="0.3">
      <c r="A29" s="5">
        <v>926</v>
      </c>
      <c r="B29" s="5">
        <v>-74</v>
      </c>
      <c r="C29" s="27">
        <f t="shared" si="0"/>
        <v>-3.6999999999999998E-2</v>
      </c>
      <c r="D29" s="27">
        <f t="shared" si="1"/>
        <v>-7.3999999999999996E-2</v>
      </c>
      <c r="E29" s="27">
        <f t="shared" si="2"/>
        <v>-0.14799999999999999</v>
      </c>
      <c r="F29" s="27">
        <f t="shared" si="3"/>
        <v>-0.29599999999999999</v>
      </c>
      <c r="G29" s="27">
        <f t="shared" si="4"/>
        <v>-0.37</v>
      </c>
      <c r="H29" s="27">
        <f t="shared" si="5"/>
        <v>-0.74</v>
      </c>
      <c r="I29" s="27">
        <f t="shared" si="6"/>
        <v>-1.48</v>
      </c>
      <c r="J29" s="27">
        <f t="shared" si="7"/>
        <v>-2.96</v>
      </c>
      <c r="K29" s="27">
        <f t="shared" si="8"/>
        <v>-3.6999999999999997</v>
      </c>
      <c r="L29" s="27">
        <f t="shared" si="9"/>
        <v>-37</v>
      </c>
      <c r="M29" s="34">
        <f t="shared" si="10"/>
        <v>926</v>
      </c>
    </row>
    <row r="30" spans="1:13" ht="12" x14ac:dyDescent="0.3">
      <c r="A30" s="5">
        <v>927</v>
      </c>
      <c r="B30" s="5">
        <v>-73</v>
      </c>
      <c r="C30" s="27">
        <f t="shared" si="0"/>
        <v>-3.6499999999999998E-2</v>
      </c>
      <c r="D30" s="27">
        <f t="shared" si="1"/>
        <v>-7.2999999999999995E-2</v>
      </c>
      <c r="E30" s="27">
        <f t="shared" si="2"/>
        <v>-0.14599999999999999</v>
      </c>
      <c r="F30" s="27">
        <f t="shared" si="3"/>
        <v>-0.29199999999999998</v>
      </c>
      <c r="G30" s="27">
        <f t="shared" si="4"/>
        <v>-0.36499999999999999</v>
      </c>
      <c r="H30" s="27">
        <f t="shared" si="5"/>
        <v>-0.73</v>
      </c>
      <c r="I30" s="27">
        <f t="shared" si="6"/>
        <v>-1.46</v>
      </c>
      <c r="J30" s="27">
        <f t="shared" si="7"/>
        <v>-2.92</v>
      </c>
      <c r="K30" s="27">
        <f t="shared" si="8"/>
        <v>-3.65</v>
      </c>
      <c r="L30" s="27">
        <f t="shared" si="9"/>
        <v>-36.5</v>
      </c>
      <c r="M30" s="34">
        <f t="shared" si="10"/>
        <v>927</v>
      </c>
    </row>
    <row r="31" spans="1:13" ht="12" x14ac:dyDescent="0.3">
      <c r="A31" s="5">
        <v>928</v>
      </c>
      <c r="B31" s="5">
        <v>-72</v>
      </c>
      <c r="C31" s="27">
        <f t="shared" si="0"/>
        <v>-3.5999999999999997E-2</v>
      </c>
      <c r="D31" s="27">
        <f t="shared" si="1"/>
        <v>-7.1999999999999995E-2</v>
      </c>
      <c r="E31" s="27">
        <f t="shared" si="2"/>
        <v>-0.14399999999999999</v>
      </c>
      <c r="F31" s="27">
        <f t="shared" si="3"/>
        <v>-0.28799999999999998</v>
      </c>
      <c r="G31" s="27">
        <f t="shared" si="4"/>
        <v>-0.36</v>
      </c>
      <c r="H31" s="27">
        <f t="shared" si="5"/>
        <v>-0.72</v>
      </c>
      <c r="I31" s="27">
        <f t="shared" si="6"/>
        <v>-1.44</v>
      </c>
      <c r="J31" s="27">
        <f t="shared" si="7"/>
        <v>-2.88</v>
      </c>
      <c r="K31" s="27">
        <f t="shared" si="8"/>
        <v>-3.5999999999999996</v>
      </c>
      <c r="L31" s="27">
        <f t="shared" si="9"/>
        <v>-36</v>
      </c>
      <c r="M31" s="34">
        <f t="shared" si="10"/>
        <v>928</v>
      </c>
    </row>
    <row r="32" spans="1:13" ht="12" x14ac:dyDescent="0.3">
      <c r="A32" s="5">
        <v>929</v>
      </c>
      <c r="B32" s="5">
        <v>-71</v>
      </c>
      <c r="C32" s="27">
        <f t="shared" si="0"/>
        <v>-3.5499999999999997E-2</v>
      </c>
      <c r="D32" s="27">
        <f t="shared" si="1"/>
        <v>-7.0999999999999994E-2</v>
      </c>
      <c r="E32" s="27">
        <f t="shared" si="2"/>
        <v>-0.14199999999999999</v>
      </c>
      <c r="F32" s="27">
        <f t="shared" si="3"/>
        <v>-0.28399999999999997</v>
      </c>
      <c r="G32" s="27">
        <f t="shared" si="4"/>
        <v>-0.35499999999999998</v>
      </c>
      <c r="H32" s="27">
        <f t="shared" si="5"/>
        <v>-0.71</v>
      </c>
      <c r="I32" s="27">
        <f t="shared" si="6"/>
        <v>-1.42</v>
      </c>
      <c r="J32" s="27">
        <f t="shared" si="7"/>
        <v>-2.84</v>
      </c>
      <c r="K32" s="27">
        <f t="shared" si="8"/>
        <v>-3.55</v>
      </c>
      <c r="L32" s="27">
        <f t="shared" si="9"/>
        <v>-35.5</v>
      </c>
      <c r="M32" s="34">
        <f t="shared" si="10"/>
        <v>929</v>
      </c>
    </row>
    <row r="33" spans="1:13" ht="12" x14ac:dyDescent="0.3">
      <c r="A33" s="9">
        <v>930</v>
      </c>
      <c r="B33" s="5">
        <v>-70</v>
      </c>
      <c r="C33" s="15">
        <f t="shared" si="0"/>
        <v>-3.5000000000000003E-2</v>
      </c>
      <c r="D33" s="15">
        <f t="shared" si="1"/>
        <v>-7.0000000000000007E-2</v>
      </c>
      <c r="E33" s="15">
        <f t="shared" si="2"/>
        <v>-0.14000000000000001</v>
      </c>
      <c r="F33" s="15">
        <f t="shared" si="3"/>
        <v>-0.28000000000000003</v>
      </c>
      <c r="G33" s="15">
        <f t="shared" si="4"/>
        <v>-0.35000000000000003</v>
      </c>
      <c r="H33" s="15">
        <f t="shared" si="5"/>
        <v>-0.70000000000000007</v>
      </c>
      <c r="I33" s="15">
        <f t="shared" si="6"/>
        <v>-1.4000000000000001</v>
      </c>
      <c r="J33" s="15">
        <f t="shared" si="7"/>
        <v>-2.8000000000000003</v>
      </c>
      <c r="K33" s="15">
        <f t="shared" si="8"/>
        <v>-3.5000000000000004</v>
      </c>
      <c r="L33" s="15">
        <f t="shared" si="9"/>
        <v>-35</v>
      </c>
      <c r="M33" s="34">
        <f t="shared" si="10"/>
        <v>930</v>
      </c>
    </row>
    <row r="34" spans="1:13" ht="12" x14ac:dyDescent="0.3">
      <c r="A34" s="5">
        <v>931</v>
      </c>
      <c r="B34" s="5">
        <v>-69</v>
      </c>
      <c r="C34" s="27">
        <f t="shared" si="0"/>
        <v>-3.4500000000000003E-2</v>
      </c>
      <c r="D34" s="27">
        <f t="shared" si="1"/>
        <v>-6.9000000000000006E-2</v>
      </c>
      <c r="E34" s="27">
        <f t="shared" si="2"/>
        <v>-0.13800000000000001</v>
      </c>
      <c r="F34" s="27">
        <f t="shared" si="3"/>
        <v>-0.27600000000000002</v>
      </c>
      <c r="G34" s="27">
        <f t="shared" si="4"/>
        <v>-0.34500000000000003</v>
      </c>
      <c r="H34" s="27">
        <f t="shared" si="5"/>
        <v>-0.69000000000000006</v>
      </c>
      <c r="I34" s="27">
        <f t="shared" si="6"/>
        <v>-1.3800000000000001</v>
      </c>
      <c r="J34" s="27">
        <f t="shared" si="7"/>
        <v>-2.7600000000000002</v>
      </c>
      <c r="K34" s="27">
        <f t="shared" si="8"/>
        <v>-3.45</v>
      </c>
      <c r="L34" s="27">
        <f t="shared" si="9"/>
        <v>-34.5</v>
      </c>
      <c r="M34" s="34">
        <f t="shared" si="10"/>
        <v>931</v>
      </c>
    </row>
    <row r="35" spans="1:13" ht="12" x14ac:dyDescent="0.3">
      <c r="A35" s="5">
        <v>932</v>
      </c>
      <c r="B35" s="5">
        <v>-68</v>
      </c>
      <c r="C35" s="27">
        <f t="shared" si="0"/>
        <v>-3.4000000000000002E-2</v>
      </c>
      <c r="D35" s="27">
        <f t="shared" si="1"/>
        <v>-6.8000000000000005E-2</v>
      </c>
      <c r="E35" s="27">
        <f t="shared" si="2"/>
        <v>-0.13600000000000001</v>
      </c>
      <c r="F35" s="27">
        <f t="shared" si="3"/>
        <v>-0.27200000000000002</v>
      </c>
      <c r="G35" s="27">
        <f t="shared" si="4"/>
        <v>-0.34</v>
      </c>
      <c r="H35" s="27">
        <f t="shared" si="5"/>
        <v>-0.68</v>
      </c>
      <c r="I35" s="27">
        <f t="shared" si="6"/>
        <v>-1.36</v>
      </c>
      <c r="J35" s="27">
        <f t="shared" si="7"/>
        <v>-2.72</v>
      </c>
      <c r="K35" s="27">
        <f t="shared" si="8"/>
        <v>-3.4000000000000004</v>
      </c>
      <c r="L35" s="27">
        <f t="shared" si="9"/>
        <v>-34</v>
      </c>
      <c r="M35" s="34">
        <f t="shared" si="10"/>
        <v>932</v>
      </c>
    </row>
    <row r="36" spans="1:13" ht="12" x14ac:dyDescent="0.3">
      <c r="A36" s="5">
        <v>933</v>
      </c>
      <c r="B36" s="5">
        <v>-67</v>
      </c>
      <c r="C36" s="27">
        <f t="shared" si="0"/>
        <v>-3.3500000000000002E-2</v>
      </c>
      <c r="D36" s="27">
        <f t="shared" si="1"/>
        <v>-6.7000000000000004E-2</v>
      </c>
      <c r="E36" s="27">
        <f t="shared" si="2"/>
        <v>-0.13400000000000001</v>
      </c>
      <c r="F36" s="27">
        <f t="shared" si="3"/>
        <v>-0.26800000000000002</v>
      </c>
      <c r="G36" s="27">
        <f t="shared" si="4"/>
        <v>-0.33500000000000002</v>
      </c>
      <c r="H36" s="27">
        <f t="shared" si="5"/>
        <v>-0.67</v>
      </c>
      <c r="I36" s="27">
        <f t="shared" si="6"/>
        <v>-1.34</v>
      </c>
      <c r="J36" s="27">
        <f t="shared" si="7"/>
        <v>-2.68</v>
      </c>
      <c r="K36" s="27">
        <f t="shared" si="8"/>
        <v>-3.35</v>
      </c>
      <c r="L36" s="27">
        <f t="shared" si="9"/>
        <v>-33.5</v>
      </c>
      <c r="M36" s="34">
        <f t="shared" si="10"/>
        <v>933</v>
      </c>
    </row>
    <row r="37" spans="1:13" ht="12" x14ac:dyDescent="0.3">
      <c r="A37" s="5">
        <v>934</v>
      </c>
      <c r="B37" s="5">
        <v>-66</v>
      </c>
      <c r="C37" s="27">
        <f t="shared" si="0"/>
        <v>-3.3000000000000002E-2</v>
      </c>
      <c r="D37" s="27">
        <f t="shared" si="1"/>
        <v>-6.6000000000000003E-2</v>
      </c>
      <c r="E37" s="27">
        <f t="shared" si="2"/>
        <v>-0.13200000000000001</v>
      </c>
      <c r="F37" s="27">
        <f t="shared" si="3"/>
        <v>-0.26400000000000001</v>
      </c>
      <c r="G37" s="27">
        <f t="shared" si="4"/>
        <v>-0.33</v>
      </c>
      <c r="H37" s="27">
        <f t="shared" si="5"/>
        <v>-0.66</v>
      </c>
      <c r="I37" s="27">
        <f t="shared" si="6"/>
        <v>-1.32</v>
      </c>
      <c r="J37" s="27">
        <f t="shared" si="7"/>
        <v>-2.64</v>
      </c>
      <c r="K37" s="27">
        <f t="shared" si="8"/>
        <v>-3.3000000000000003</v>
      </c>
      <c r="L37" s="27">
        <f t="shared" si="9"/>
        <v>-33</v>
      </c>
      <c r="M37" s="34">
        <f t="shared" si="10"/>
        <v>934</v>
      </c>
    </row>
    <row r="38" spans="1:13" ht="12" x14ac:dyDescent="0.3">
      <c r="A38" s="5">
        <v>935</v>
      </c>
      <c r="B38" s="5">
        <v>-65</v>
      </c>
      <c r="C38" s="27">
        <f t="shared" si="0"/>
        <v>-3.2500000000000001E-2</v>
      </c>
      <c r="D38" s="27">
        <f t="shared" si="1"/>
        <v>-6.5000000000000002E-2</v>
      </c>
      <c r="E38" s="27">
        <f t="shared" si="2"/>
        <v>-0.13</v>
      </c>
      <c r="F38" s="27">
        <f t="shared" si="3"/>
        <v>-0.26</v>
      </c>
      <c r="G38" s="27">
        <f t="shared" si="4"/>
        <v>-0.32500000000000001</v>
      </c>
      <c r="H38" s="27">
        <f t="shared" si="5"/>
        <v>-0.65</v>
      </c>
      <c r="I38" s="27">
        <f t="shared" si="6"/>
        <v>-1.3</v>
      </c>
      <c r="J38" s="27">
        <f t="shared" si="7"/>
        <v>-2.6</v>
      </c>
      <c r="K38" s="27">
        <f t="shared" si="8"/>
        <v>-3.25</v>
      </c>
      <c r="L38" s="27">
        <f t="shared" si="9"/>
        <v>-32.5</v>
      </c>
      <c r="M38" s="34">
        <f t="shared" si="10"/>
        <v>935</v>
      </c>
    </row>
    <row r="39" spans="1:13" ht="12" x14ac:dyDescent="0.3">
      <c r="A39" s="5">
        <v>936</v>
      </c>
      <c r="B39" s="5">
        <v>-64</v>
      </c>
      <c r="C39" s="27">
        <f t="shared" si="0"/>
        <v>-3.2000000000000001E-2</v>
      </c>
      <c r="D39" s="27">
        <f t="shared" si="1"/>
        <v>-6.4000000000000001E-2</v>
      </c>
      <c r="E39" s="27">
        <f t="shared" si="2"/>
        <v>-0.128</v>
      </c>
      <c r="F39" s="27">
        <f t="shared" si="3"/>
        <v>-0.25600000000000001</v>
      </c>
      <c r="G39" s="27">
        <f t="shared" si="4"/>
        <v>-0.32</v>
      </c>
      <c r="H39" s="27">
        <f t="shared" si="5"/>
        <v>-0.64</v>
      </c>
      <c r="I39" s="27">
        <f t="shared" si="6"/>
        <v>-1.28</v>
      </c>
      <c r="J39" s="27">
        <f t="shared" si="7"/>
        <v>-2.56</v>
      </c>
      <c r="K39" s="27">
        <f t="shared" si="8"/>
        <v>-3.2</v>
      </c>
      <c r="L39" s="27">
        <f t="shared" si="9"/>
        <v>-32</v>
      </c>
      <c r="M39" s="34">
        <f t="shared" si="10"/>
        <v>936</v>
      </c>
    </row>
    <row r="40" spans="1:13" ht="12" x14ac:dyDescent="0.3">
      <c r="A40" s="5">
        <v>937</v>
      </c>
      <c r="B40" s="5">
        <v>-63</v>
      </c>
      <c r="C40" s="27">
        <f t="shared" si="0"/>
        <v>-3.15E-2</v>
      </c>
      <c r="D40" s="27">
        <f t="shared" si="1"/>
        <v>-6.3E-2</v>
      </c>
      <c r="E40" s="27">
        <f t="shared" si="2"/>
        <v>-0.126</v>
      </c>
      <c r="F40" s="27">
        <f t="shared" si="3"/>
        <v>-0.252</v>
      </c>
      <c r="G40" s="27">
        <f t="shared" si="4"/>
        <v>-0.315</v>
      </c>
      <c r="H40" s="27">
        <f t="shared" si="5"/>
        <v>-0.63</v>
      </c>
      <c r="I40" s="27">
        <f t="shared" si="6"/>
        <v>-1.26</v>
      </c>
      <c r="J40" s="27">
        <f t="shared" si="7"/>
        <v>-2.52</v>
      </c>
      <c r="K40" s="27">
        <f t="shared" si="8"/>
        <v>-3.15</v>
      </c>
      <c r="L40" s="27">
        <f t="shared" si="9"/>
        <v>-31.5</v>
      </c>
      <c r="M40" s="34">
        <f t="shared" si="10"/>
        <v>937</v>
      </c>
    </row>
    <row r="41" spans="1:13" ht="12" x14ac:dyDescent="0.3">
      <c r="A41" s="5">
        <v>938</v>
      </c>
      <c r="B41" s="5">
        <v>-62</v>
      </c>
      <c r="C41" s="27">
        <f t="shared" si="0"/>
        <v>-3.1E-2</v>
      </c>
      <c r="D41" s="27">
        <f t="shared" si="1"/>
        <v>-6.2E-2</v>
      </c>
      <c r="E41" s="27">
        <f t="shared" si="2"/>
        <v>-0.124</v>
      </c>
      <c r="F41" s="27">
        <f t="shared" si="3"/>
        <v>-0.248</v>
      </c>
      <c r="G41" s="27">
        <f t="shared" si="4"/>
        <v>-0.31</v>
      </c>
      <c r="H41" s="27">
        <f t="shared" si="5"/>
        <v>-0.62</v>
      </c>
      <c r="I41" s="27">
        <f t="shared" si="6"/>
        <v>-1.24</v>
      </c>
      <c r="J41" s="27">
        <f t="shared" si="7"/>
        <v>-2.48</v>
      </c>
      <c r="K41" s="27">
        <f t="shared" si="8"/>
        <v>-3.1</v>
      </c>
      <c r="L41" s="27">
        <f t="shared" si="9"/>
        <v>-31</v>
      </c>
      <c r="M41" s="34">
        <f t="shared" si="10"/>
        <v>938</v>
      </c>
    </row>
    <row r="42" spans="1:13" ht="12" x14ac:dyDescent="0.3">
      <c r="A42" s="5">
        <v>939</v>
      </c>
      <c r="B42" s="5">
        <v>-61</v>
      </c>
      <c r="C42" s="27">
        <f t="shared" si="0"/>
        <v>-3.0499999999999999E-2</v>
      </c>
      <c r="D42" s="27">
        <f t="shared" si="1"/>
        <v>-6.0999999999999999E-2</v>
      </c>
      <c r="E42" s="27">
        <f t="shared" si="2"/>
        <v>-0.122</v>
      </c>
      <c r="F42" s="27">
        <f t="shared" si="3"/>
        <v>-0.24399999999999999</v>
      </c>
      <c r="G42" s="27">
        <f t="shared" si="4"/>
        <v>-0.30499999999999999</v>
      </c>
      <c r="H42" s="27">
        <f t="shared" si="5"/>
        <v>-0.61</v>
      </c>
      <c r="I42" s="27">
        <f t="shared" si="6"/>
        <v>-1.22</v>
      </c>
      <c r="J42" s="27">
        <f t="shared" si="7"/>
        <v>-2.44</v>
      </c>
      <c r="K42" s="27">
        <f t="shared" si="8"/>
        <v>-3.05</v>
      </c>
      <c r="L42" s="27">
        <f t="shared" si="9"/>
        <v>-30.5</v>
      </c>
      <c r="M42" s="34">
        <f t="shared" si="10"/>
        <v>939</v>
      </c>
    </row>
    <row r="43" spans="1:13" ht="12" x14ac:dyDescent="0.3">
      <c r="A43" s="9">
        <v>940</v>
      </c>
      <c r="B43" s="5">
        <v>-60</v>
      </c>
      <c r="C43" s="15">
        <f t="shared" si="0"/>
        <v>-0.03</v>
      </c>
      <c r="D43" s="15">
        <f t="shared" si="1"/>
        <v>-0.06</v>
      </c>
      <c r="E43" s="15">
        <f t="shared" si="2"/>
        <v>-0.12</v>
      </c>
      <c r="F43" s="15">
        <f t="shared" si="3"/>
        <v>-0.24</v>
      </c>
      <c r="G43" s="15">
        <f t="shared" si="4"/>
        <v>-0.3</v>
      </c>
      <c r="H43" s="15">
        <f t="shared" si="5"/>
        <v>-0.6</v>
      </c>
      <c r="I43" s="15">
        <f t="shared" si="6"/>
        <v>-1.2</v>
      </c>
      <c r="J43" s="15">
        <f t="shared" si="7"/>
        <v>-2.4</v>
      </c>
      <c r="K43" s="15">
        <f t="shared" si="8"/>
        <v>-3</v>
      </c>
      <c r="L43" s="15">
        <f t="shared" si="9"/>
        <v>-30</v>
      </c>
      <c r="M43" s="34">
        <f t="shared" si="10"/>
        <v>940</v>
      </c>
    </row>
    <row r="44" spans="1:13" ht="12" x14ac:dyDescent="0.3">
      <c r="A44" s="5">
        <v>941</v>
      </c>
      <c r="B44" s="5">
        <v>-59</v>
      </c>
      <c r="C44" s="27">
        <f t="shared" si="0"/>
        <v>-2.9499999999999998E-2</v>
      </c>
      <c r="D44" s="27">
        <f t="shared" si="1"/>
        <v>-5.8999999999999997E-2</v>
      </c>
      <c r="E44" s="27">
        <f t="shared" si="2"/>
        <v>-0.11799999999999999</v>
      </c>
      <c r="F44" s="27">
        <f t="shared" si="3"/>
        <v>-0.23599999999999999</v>
      </c>
      <c r="G44" s="27">
        <f t="shared" si="4"/>
        <v>-0.29499999999999998</v>
      </c>
      <c r="H44" s="27">
        <f t="shared" si="5"/>
        <v>-0.59</v>
      </c>
      <c r="I44" s="27">
        <f t="shared" si="6"/>
        <v>-1.18</v>
      </c>
      <c r="J44" s="27">
        <f t="shared" si="7"/>
        <v>-2.36</v>
      </c>
      <c r="K44" s="27">
        <f t="shared" si="8"/>
        <v>-2.9499999999999997</v>
      </c>
      <c r="L44" s="27">
        <f t="shared" si="9"/>
        <v>-29.5</v>
      </c>
      <c r="M44" s="34">
        <f t="shared" si="10"/>
        <v>941</v>
      </c>
    </row>
    <row r="45" spans="1:13" ht="12" x14ac:dyDescent="0.3">
      <c r="A45" s="5">
        <v>942</v>
      </c>
      <c r="B45" s="5">
        <v>-58</v>
      </c>
      <c r="C45" s="27">
        <f t="shared" si="0"/>
        <v>-2.9000000000000001E-2</v>
      </c>
      <c r="D45" s="27">
        <f t="shared" si="1"/>
        <v>-5.8000000000000003E-2</v>
      </c>
      <c r="E45" s="27">
        <f t="shared" si="2"/>
        <v>-0.11600000000000001</v>
      </c>
      <c r="F45" s="27">
        <f t="shared" si="3"/>
        <v>-0.23200000000000001</v>
      </c>
      <c r="G45" s="27">
        <f t="shared" si="4"/>
        <v>-0.29000000000000004</v>
      </c>
      <c r="H45" s="27">
        <f t="shared" si="5"/>
        <v>-0.58000000000000007</v>
      </c>
      <c r="I45" s="27">
        <f t="shared" si="6"/>
        <v>-1.1600000000000001</v>
      </c>
      <c r="J45" s="27">
        <f t="shared" si="7"/>
        <v>-2.3200000000000003</v>
      </c>
      <c r="K45" s="27">
        <f t="shared" si="8"/>
        <v>-2.9000000000000004</v>
      </c>
      <c r="L45" s="27">
        <f t="shared" si="9"/>
        <v>-29</v>
      </c>
      <c r="M45" s="34">
        <f t="shared" si="10"/>
        <v>942</v>
      </c>
    </row>
    <row r="46" spans="1:13" ht="12" x14ac:dyDescent="0.3">
      <c r="A46" s="5">
        <v>943</v>
      </c>
      <c r="B46" s="5">
        <v>-57</v>
      </c>
      <c r="C46" s="27">
        <f t="shared" si="0"/>
        <v>-2.8500000000000001E-2</v>
      </c>
      <c r="D46" s="27">
        <f t="shared" si="1"/>
        <v>-5.7000000000000002E-2</v>
      </c>
      <c r="E46" s="27">
        <f t="shared" si="2"/>
        <v>-0.114</v>
      </c>
      <c r="F46" s="27">
        <f t="shared" si="3"/>
        <v>-0.22800000000000001</v>
      </c>
      <c r="G46" s="27">
        <f t="shared" si="4"/>
        <v>-0.28500000000000003</v>
      </c>
      <c r="H46" s="27">
        <f t="shared" si="5"/>
        <v>-0.57000000000000006</v>
      </c>
      <c r="I46" s="27">
        <f t="shared" si="6"/>
        <v>-1.1400000000000001</v>
      </c>
      <c r="J46" s="27">
        <f t="shared" si="7"/>
        <v>-2.2800000000000002</v>
      </c>
      <c r="K46" s="27">
        <f t="shared" si="8"/>
        <v>-2.85</v>
      </c>
      <c r="L46" s="27">
        <f t="shared" si="9"/>
        <v>-28.5</v>
      </c>
      <c r="M46" s="34">
        <f t="shared" si="10"/>
        <v>943</v>
      </c>
    </row>
    <row r="47" spans="1:13" ht="12" x14ac:dyDescent="0.3">
      <c r="A47" s="5">
        <v>944</v>
      </c>
      <c r="B47" s="5">
        <v>-56</v>
      </c>
      <c r="C47" s="27">
        <f t="shared" si="0"/>
        <v>-2.8000000000000001E-2</v>
      </c>
      <c r="D47" s="27">
        <f t="shared" si="1"/>
        <v>-5.6000000000000001E-2</v>
      </c>
      <c r="E47" s="27">
        <f t="shared" si="2"/>
        <v>-0.112</v>
      </c>
      <c r="F47" s="27">
        <f t="shared" si="3"/>
        <v>-0.224</v>
      </c>
      <c r="G47" s="27">
        <f t="shared" si="4"/>
        <v>-0.28000000000000003</v>
      </c>
      <c r="H47" s="27">
        <f t="shared" si="5"/>
        <v>-0.56000000000000005</v>
      </c>
      <c r="I47" s="27">
        <f t="shared" si="6"/>
        <v>-1.1200000000000001</v>
      </c>
      <c r="J47" s="27">
        <f t="shared" si="7"/>
        <v>-2.2400000000000002</v>
      </c>
      <c r="K47" s="27">
        <f t="shared" si="8"/>
        <v>-2.8000000000000003</v>
      </c>
      <c r="L47" s="27">
        <f t="shared" si="9"/>
        <v>-28</v>
      </c>
      <c r="M47" s="34">
        <f t="shared" si="10"/>
        <v>944</v>
      </c>
    </row>
    <row r="48" spans="1:13" ht="12" x14ac:dyDescent="0.3">
      <c r="A48" s="5">
        <v>945</v>
      </c>
      <c r="B48" s="5">
        <v>-55</v>
      </c>
      <c r="C48" s="27">
        <f t="shared" si="0"/>
        <v>-2.75E-2</v>
      </c>
      <c r="D48" s="27">
        <f t="shared" si="1"/>
        <v>-5.5E-2</v>
      </c>
      <c r="E48" s="27">
        <f t="shared" si="2"/>
        <v>-0.11</v>
      </c>
      <c r="F48" s="27">
        <f t="shared" si="3"/>
        <v>-0.22</v>
      </c>
      <c r="G48" s="27">
        <f t="shared" si="4"/>
        <v>-0.27500000000000002</v>
      </c>
      <c r="H48" s="27">
        <f t="shared" si="5"/>
        <v>-0.55000000000000004</v>
      </c>
      <c r="I48" s="27">
        <f t="shared" si="6"/>
        <v>-1.1000000000000001</v>
      </c>
      <c r="J48" s="27">
        <f t="shared" si="7"/>
        <v>-2.2000000000000002</v>
      </c>
      <c r="K48" s="27">
        <f t="shared" si="8"/>
        <v>-2.75</v>
      </c>
      <c r="L48" s="27">
        <f t="shared" si="9"/>
        <v>-27.5</v>
      </c>
      <c r="M48" s="34">
        <f t="shared" si="10"/>
        <v>945</v>
      </c>
    </row>
    <row r="49" spans="1:13" ht="12" x14ac:dyDescent="0.3">
      <c r="A49" s="5">
        <v>946</v>
      </c>
      <c r="B49" s="5">
        <v>-54</v>
      </c>
      <c r="C49" s="27">
        <f t="shared" si="0"/>
        <v>-2.7E-2</v>
      </c>
      <c r="D49" s="27">
        <f t="shared" si="1"/>
        <v>-5.3999999999999999E-2</v>
      </c>
      <c r="E49" s="27">
        <f t="shared" si="2"/>
        <v>-0.108</v>
      </c>
      <c r="F49" s="27">
        <f t="shared" si="3"/>
        <v>-0.216</v>
      </c>
      <c r="G49" s="27">
        <f t="shared" si="4"/>
        <v>-0.27</v>
      </c>
      <c r="H49" s="27">
        <f t="shared" si="5"/>
        <v>-0.54</v>
      </c>
      <c r="I49" s="27">
        <f t="shared" si="6"/>
        <v>-1.08</v>
      </c>
      <c r="J49" s="27">
        <f t="shared" si="7"/>
        <v>-2.16</v>
      </c>
      <c r="K49" s="27">
        <f t="shared" si="8"/>
        <v>-2.7</v>
      </c>
      <c r="L49" s="27">
        <f t="shared" si="9"/>
        <v>-27</v>
      </c>
      <c r="M49" s="34">
        <f t="shared" si="10"/>
        <v>946</v>
      </c>
    </row>
    <row r="50" spans="1:13" ht="12" x14ac:dyDescent="0.3">
      <c r="A50" s="5">
        <v>947</v>
      </c>
      <c r="B50" s="5">
        <v>-53</v>
      </c>
      <c r="C50" s="27">
        <f t="shared" si="0"/>
        <v>-2.6499999999999999E-2</v>
      </c>
      <c r="D50" s="27">
        <f t="shared" si="1"/>
        <v>-5.2999999999999999E-2</v>
      </c>
      <c r="E50" s="27">
        <f t="shared" si="2"/>
        <v>-0.106</v>
      </c>
      <c r="F50" s="27">
        <f t="shared" si="3"/>
        <v>-0.21199999999999999</v>
      </c>
      <c r="G50" s="27">
        <f t="shared" si="4"/>
        <v>-0.26500000000000001</v>
      </c>
      <c r="H50" s="27">
        <f t="shared" si="5"/>
        <v>-0.53</v>
      </c>
      <c r="I50" s="27">
        <f t="shared" si="6"/>
        <v>-1.06</v>
      </c>
      <c r="J50" s="27">
        <f t="shared" si="7"/>
        <v>-2.12</v>
      </c>
      <c r="K50" s="27">
        <f t="shared" si="8"/>
        <v>-2.65</v>
      </c>
      <c r="L50" s="27">
        <f t="shared" si="9"/>
        <v>-26.5</v>
      </c>
      <c r="M50" s="34">
        <f t="shared" si="10"/>
        <v>947</v>
      </c>
    </row>
    <row r="51" spans="1:13" ht="12" x14ac:dyDescent="0.3">
      <c r="A51" s="5">
        <v>948</v>
      </c>
      <c r="B51" s="5">
        <v>-52</v>
      </c>
      <c r="C51" s="27">
        <f t="shared" si="0"/>
        <v>-2.5999999999999999E-2</v>
      </c>
      <c r="D51" s="27">
        <f t="shared" si="1"/>
        <v>-5.1999999999999998E-2</v>
      </c>
      <c r="E51" s="27">
        <f t="shared" si="2"/>
        <v>-0.104</v>
      </c>
      <c r="F51" s="27">
        <f t="shared" si="3"/>
        <v>-0.20799999999999999</v>
      </c>
      <c r="G51" s="27">
        <f t="shared" si="4"/>
        <v>-0.26</v>
      </c>
      <c r="H51" s="27">
        <f t="shared" si="5"/>
        <v>-0.52</v>
      </c>
      <c r="I51" s="27">
        <f t="shared" si="6"/>
        <v>-1.04</v>
      </c>
      <c r="J51" s="27">
        <f t="shared" si="7"/>
        <v>-2.08</v>
      </c>
      <c r="K51" s="27">
        <f t="shared" si="8"/>
        <v>-2.6</v>
      </c>
      <c r="L51" s="27">
        <f t="shared" si="9"/>
        <v>-26</v>
      </c>
      <c r="M51" s="34">
        <f t="shared" si="10"/>
        <v>948</v>
      </c>
    </row>
    <row r="52" spans="1:13" ht="12" x14ac:dyDescent="0.3">
      <c r="A52" s="5">
        <v>949</v>
      </c>
      <c r="B52" s="5">
        <v>-51</v>
      </c>
      <c r="C52" s="27">
        <f t="shared" si="0"/>
        <v>-2.5499999999999998E-2</v>
      </c>
      <c r="D52" s="27">
        <f t="shared" si="1"/>
        <v>-5.0999999999999997E-2</v>
      </c>
      <c r="E52" s="27">
        <f t="shared" si="2"/>
        <v>-0.10199999999999999</v>
      </c>
      <c r="F52" s="27">
        <f t="shared" si="3"/>
        <v>-0.20399999999999999</v>
      </c>
      <c r="G52" s="27">
        <f t="shared" si="4"/>
        <v>-0.255</v>
      </c>
      <c r="H52" s="27">
        <f t="shared" si="5"/>
        <v>-0.51</v>
      </c>
      <c r="I52" s="27">
        <f t="shared" si="6"/>
        <v>-1.02</v>
      </c>
      <c r="J52" s="27">
        <f t="shared" si="7"/>
        <v>-2.04</v>
      </c>
      <c r="K52" s="27">
        <f t="shared" si="8"/>
        <v>-2.5499999999999998</v>
      </c>
      <c r="L52" s="27">
        <f t="shared" si="9"/>
        <v>-25.5</v>
      </c>
      <c r="M52" s="34">
        <f t="shared" si="10"/>
        <v>949</v>
      </c>
    </row>
    <row r="53" spans="1:13" ht="12" x14ac:dyDescent="0.3">
      <c r="A53" s="9">
        <v>950</v>
      </c>
      <c r="B53" s="5">
        <v>-50</v>
      </c>
      <c r="C53" s="15">
        <f t="shared" si="0"/>
        <v>-2.5000000000000001E-2</v>
      </c>
      <c r="D53" s="15">
        <f t="shared" si="1"/>
        <v>-0.05</v>
      </c>
      <c r="E53" s="15">
        <f t="shared" si="2"/>
        <v>-0.1</v>
      </c>
      <c r="F53" s="15">
        <f t="shared" si="3"/>
        <v>-0.2</v>
      </c>
      <c r="G53" s="15">
        <f t="shared" si="4"/>
        <v>-0.25</v>
      </c>
      <c r="H53" s="15">
        <f t="shared" si="5"/>
        <v>-0.5</v>
      </c>
      <c r="I53" s="15">
        <f t="shared" si="6"/>
        <v>-1</v>
      </c>
      <c r="J53" s="15">
        <f t="shared" si="7"/>
        <v>-2</v>
      </c>
      <c r="K53" s="15">
        <f t="shared" si="8"/>
        <v>-2.5</v>
      </c>
      <c r="L53" s="15">
        <f t="shared" si="9"/>
        <v>-25</v>
      </c>
      <c r="M53" s="34">
        <f t="shared" si="10"/>
        <v>950</v>
      </c>
    </row>
    <row r="54" spans="1:13" ht="12" x14ac:dyDescent="0.3">
      <c r="A54" s="5">
        <v>951</v>
      </c>
      <c r="B54" s="5">
        <v>-49</v>
      </c>
      <c r="C54" s="27">
        <f t="shared" si="0"/>
        <v>-2.4500000000000001E-2</v>
      </c>
      <c r="D54" s="27">
        <f t="shared" si="1"/>
        <v>-4.9000000000000002E-2</v>
      </c>
      <c r="E54" s="27">
        <f t="shared" si="2"/>
        <v>-9.8000000000000004E-2</v>
      </c>
      <c r="F54" s="27">
        <f t="shared" si="3"/>
        <v>-0.19600000000000001</v>
      </c>
      <c r="G54" s="27">
        <f t="shared" si="4"/>
        <v>-0.245</v>
      </c>
      <c r="H54" s="27">
        <f t="shared" si="5"/>
        <v>-0.49</v>
      </c>
      <c r="I54" s="27">
        <f t="shared" si="6"/>
        <v>-0.98</v>
      </c>
      <c r="J54" s="27">
        <f t="shared" si="7"/>
        <v>-1.96</v>
      </c>
      <c r="K54" s="27">
        <f t="shared" si="8"/>
        <v>-2.4500000000000002</v>
      </c>
      <c r="L54" s="27">
        <f t="shared" si="9"/>
        <v>-24.5</v>
      </c>
      <c r="M54" s="34">
        <f t="shared" si="10"/>
        <v>951</v>
      </c>
    </row>
    <row r="55" spans="1:13" ht="12" x14ac:dyDescent="0.3">
      <c r="A55" s="5">
        <v>952</v>
      </c>
      <c r="B55" s="5">
        <v>-48</v>
      </c>
      <c r="C55" s="27">
        <f t="shared" si="0"/>
        <v>-2.4E-2</v>
      </c>
      <c r="D55" s="27">
        <f t="shared" si="1"/>
        <v>-4.8000000000000001E-2</v>
      </c>
      <c r="E55" s="27">
        <f t="shared" si="2"/>
        <v>-9.6000000000000002E-2</v>
      </c>
      <c r="F55" s="27">
        <f t="shared" si="3"/>
        <v>-0.192</v>
      </c>
      <c r="G55" s="27">
        <f t="shared" si="4"/>
        <v>-0.24</v>
      </c>
      <c r="H55" s="27">
        <f t="shared" si="5"/>
        <v>-0.48</v>
      </c>
      <c r="I55" s="27">
        <f t="shared" si="6"/>
        <v>-0.96</v>
      </c>
      <c r="J55" s="27">
        <f t="shared" si="7"/>
        <v>-1.92</v>
      </c>
      <c r="K55" s="27">
        <f t="shared" si="8"/>
        <v>-2.4</v>
      </c>
      <c r="L55" s="27">
        <f t="shared" si="9"/>
        <v>-24</v>
      </c>
      <c r="M55" s="34">
        <f t="shared" si="10"/>
        <v>952</v>
      </c>
    </row>
    <row r="56" spans="1:13" ht="12" x14ac:dyDescent="0.3">
      <c r="A56" s="5">
        <v>953</v>
      </c>
      <c r="B56" s="5">
        <v>-47</v>
      </c>
      <c r="C56" s="27">
        <f t="shared" si="0"/>
        <v>-2.35E-2</v>
      </c>
      <c r="D56" s="27">
        <f t="shared" si="1"/>
        <v>-4.7E-2</v>
      </c>
      <c r="E56" s="27">
        <f t="shared" si="2"/>
        <v>-9.4E-2</v>
      </c>
      <c r="F56" s="27">
        <f t="shared" si="3"/>
        <v>-0.188</v>
      </c>
      <c r="G56" s="27">
        <f t="shared" si="4"/>
        <v>-0.23499999999999999</v>
      </c>
      <c r="H56" s="27">
        <f t="shared" si="5"/>
        <v>-0.47</v>
      </c>
      <c r="I56" s="27">
        <f t="shared" si="6"/>
        <v>-0.94</v>
      </c>
      <c r="J56" s="27">
        <f t="shared" si="7"/>
        <v>-1.88</v>
      </c>
      <c r="K56" s="27">
        <f t="shared" si="8"/>
        <v>-2.35</v>
      </c>
      <c r="L56" s="27">
        <f t="shared" si="9"/>
        <v>-23.5</v>
      </c>
      <c r="M56" s="34">
        <f t="shared" si="10"/>
        <v>953</v>
      </c>
    </row>
    <row r="57" spans="1:13" ht="12" x14ac:dyDescent="0.3">
      <c r="A57" s="5">
        <v>954</v>
      </c>
      <c r="B57" s="5">
        <v>-46</v>
      </c>
      <c r="C57" s="27">
        <f t="shared" si="0"/>
        <v>-2.3E-2</v>
      </c>
      <c r="D57" s="27">
        <f t="shared" si="1"/>
        <v>-4.5999999999999999E-2</v>
      </c>
      <c r="E57" s="27">
        <f t="shared" si="2"/>
        <v>-9.1999999999999998E-2</v>
      </c>
      <c r="F57" s="27">
        <f t="shared" si="3"/>
        <v>-0.184</v>
      </c>
      <c r="G57" s="27">
        <f t="shared" si="4"/>
        <v>-0.22999999999999998</v>
      </c>
      <c r="H57" s="27">
        <f t="shared" si="5"/>
        <v>-0.45999999999999996</v>
      </c>
      <c r="I57" s="27">
        <f t="shared" si="6"/>
        <v>-0.91999999999999993</v>
      </c>
      <c r="J57" s="27">
        <f t="shared" si="7"/>
        <v>-1.8399999999999999</v>
      </c>
      <c r="K57" s="27">
        <f t="shared" si="8"/>
        <v>-2.2999999999999998</v>
      </c>
      <c r="L57" s="27">
        <f t="shared" si="9"/>
        <v>-23</v>
      </c>
      <c r="M57" s="34">
        <f t="shared" si="10"/>
        <v>954</v>
      </c>
    </row>
    <row r="58" spans="1:13" ht="12" x14ac:dyDescent="0.3">
      <c r="A58" s="5">
        <v>955</v>
      </c>
      <c r="B58" s="5">
        <v>-45</v>
      </c>
      <c r="C58" s="27">
        <f t="shared" si="0"/>
        <v>-2.2499999999999999E-2</v>
      </c>
      <c r="D58" s="27">
        <f t="shared" si="1"/>
        <v>-4.4999999999999998E-2</v>
      </c>
      <c r="E58" s="27">
        <f t="shared" si="2"/>
        <v>-0.09</v>
      </c>
      <c r="F58" s="27">
        <f t="shared" si="3"/>
        <v>-0.18</v>
      </c>
      <c r="G58" s="27">
        <f t="shared" si="4"/>
        <v>-0.22499999999999998</v>
      </c>
      <c r="H58" s="27">
        <f t="shared" si="5"/>
        <v>-0.44999999999999996</v>
      </c>
      <c r="I58" s="27">
        <f t="shared" si="6"/>
        <v>-0.89999999999999991</v>
      </c>
      <c r="J58" s="27">
        <f t="shared" si="7"/>
        <v>-1.7999999999999998</v>
      </c>
      <c r="K58" s="27">
        <f t="shared" si="8"/>
        <v>-2.25</v>
      </c>
      <c r="L58" s="27">
        <f t="shared" si="9"/>
        <v>-22.5</v>
      </c>
      <c r="M58" s="34">
        <f t="shared" si="10"/>
        <v>955</v>
      </c>
    </row>
    <row r="59" spans="1:13" ht="12" x14ac:dyDescent="0.3">
      <c r="A59" s="5">
        <v>956</v>
      </c>
      <c r="B59" s="5">
        <v>-44</v>
      </c>
      <c r="C59" s="27">
        <f t="shared" si="0"/>
        <v>-2.1999999999999999E-2</v>
      </c>
      <c r="D59" s="27">
        <f t="shared" si="1"/>
        <v>-4.3999999999999997E-2</v>
      </c>
      <c r="E59" s="27">
        <f t="shared" si="2"/>
        <v>-8.7999999999999995E-2</v>
      </c>
      <c r="F59" s="27">
        <f t="shared" si="3"/>
        <v>-0.17599999999999999</v>
      </c>
      <c r="G59" s="27">
        <f t="shared" si="4"/>
        <v>-0.21999999999999997</v>
      </c>
      <c r="H59" s="27">
        <f t="shared" si="5"/>
        <v>-0.43999999999999995</v>
      </c>
      <c r="I59" s="27">
        <f t="shared" si="6"/>
        <v>-0.87999999999999989</v>
      </c>
      <c r="J59" s="27">
        <f t="shared" si="7"/>
        <v>-1.7599999999999998</v>
      </c>
      <c r="K59" s="27">
        <f t="shared" si="8"/>
        <v>-2.1999999999999997</v>
      </c>
      <c r="L59" s="27">
        <f t="shared" si="9"/>
        <v>-22</v>
      </c>
      <c r="M59" s="34">
        <f t="shared" si="10"/>
        <v>956</v>
      </c>
    </row>
    <row r="60" spans="1:13" ht="12" x14ac:dyDescent="0.3">
      <c r="A60" s="5">
        <v>957</v>
      </c>
      <c r="B60" s="5">
        <v>-43</v>
      </c>
      <c r="C60" s="27">
        <f t="shared" si="0"/>
        <v>-2.1499999999999998E-2</v>
      </c>
      <c r="D60" s="27">
        <f t="shared" si="1"/>
        <v>-4.2999999999999997E-2</v>
      </c>
      <c r="E60" s="27">
        <f t="shared" si="2"/>
        <v>-8.5999999999999993E-2</v>
      </c>
      <c r="F60" s="27">
        <f t="shared" si="3"/>
        <v>-0.17199999999999999</v>
      </c>
      <c r="G60" s="27">
        <f t="shared" si="4"/>
        <v>-0.21499999999999997</v>
      </c>
      <c r="H60" s="27">
        <f t="shared" si="5"/>
        <v>-0.42999999999999994</v>
      </c>
      <c r="I60" s="27">
        <f t="shared" si="6"/>
        <v>-0.85999999999999988</v>
      </c>
      <c r="J60" s="27">
        <f t="shared" si="7"/>
        <v>-1.7199999999999998</v>
      </c>
      <c r="K60" s="27">
        <f t="shared" si="8"/>
        <v>-2.15</v>
      </c>
      <c r="L60" s="27">
        <f t="shared" si="9"/>
        <v>-21.5</v>
      </c>
      <c r="M60" s="34">
        <f t="shared" si="10"/>
        <v>957</v>
      </c>
    </row>
    <row r="61" spans="1:13" ht="12" x14ac:dyDescent="0.3">
      <c r="A61" s="5">
        <v>958</v>
      </c>
      <c r="B61" s="5">
        <v>-42</v>
      </c>
      <c r="C61" s="27">
        <f t="shared" si="0"/>
        <v>-2.1000000000000001E-2</v>
      </c>
      <c r="D61" s="27">
        <f t="shared" si="1"/>
        <v>-4.2000000000000003E-2</v>
      </c>
      <c r="E61" s="27">
        <f t="shared" si="2"/>
        <v>-8.4000000000000005E-2</v>
      </c>
      <c r="F61" s="27">
        <f t="shared" si="3"/>
        <v>-0.16800000000000001</v>
      </c>
      <c r="G61" s="27">
        <f t="shared" si="4"/>
        <v>-0.21000000000000002</v>
      </c>
      <c r="H61" s="27">
        <f t="shared" si="5"/>
        <v>-0.42000000000000004</v>
      </c>
      <c r="I61" s="27">
        <f t="shared" si="6"/>
        <v>-0.84000000000000008</v>
      </c>
      <c r="J61" s="27">
        <f t="shared" si="7"/>
        <v>-1.6800000000000002</v>
      </c>
      <c r="K61" s="27">
        <f t="shared" si="8"/>
        <v>-2.1</v>
      </c>
      <c r="L61" s="27">
        <f t="shared" si="9"/>
        <v>-21</v>
      </c>
      <c r="M61" s="34">
        <f t="shared" si="10"/>
        <v>958</v>
      </c>
    </row>
    <row r="62" spans="1:13" ht="12" x14ac:dyDescent="0.3">
      <c r="A62" s="5">
        <v>959</v>
      </c>
      <c r="B62" s="5">
        <v>-41</v>
      </c>
      <c r="C62" s="27">
        <f t="shared" si="0"/>
        <v>-2.0500000000000001E-2</v>
      </c>
      <c r="D62" s="27">
        <f t="shared" si="1"/>
        <v>-4.1000000000000002E-2</v>
      </c>
      <c r="E62" s="27">
        <f t="shared" si="2"/>
        <v>-8.2000000000000003E-2</v>
      </c>
      <c r="F62" s="27">
        <f t="shared" si="3"/>
        <v>-0.16400000000000001</v>
      </c>
      <c r="G62" s="27">
        <f t="shared" si="4"/>
        <v>-0.20500000000000002</v>
      </c>
      <c r="H62" s="27">
        <f t="shared" si="5"/>
        <v>-0.41000000000000003</v>
      </c>
      <c r="I62" s="27">
        <f t="shared" si="6"/>
        <v>-0.82000000000000006</v>
      </c>
      <c r="J62" s="27">
        <f t="shared" si="7"/>
        <v>-1.6400000000000001</v>
      </c>
      <c r="K62" s="27">
        <f t="shared" si="8"/>
        <v>-2.0500000000000003</v>
      </c>
      <c r="L62" s="27">
        <f t="shared" si="9"/>
        <v>-20.5</v>
      </c>
      <c r="M62" s="34">
        <f t="shared" si="10"/>
        <v>959</v>
      </c>
    </row>
    <row r="63" spans="1:13" ht="12" x14ac:dyDescent="0.3">
      <c r="A63" s="9">
        <v>960</v>
      </c>
      <c r="B63" s="5">
        <v>-40</v>
      </c>
      <c r="C63" s="15">
        <f t="shared" si="0"/>
        <v>-0.02</v>
      </c>
      <c r="D63" s="15">
        <f t="shared" si="1"/>
        <v>-0.04</v>
      </c>
      <c r="E63" s="15">
        <f t="shared" si="2"/>
        <v>-0.08</v>
      </c>
      <c r="F63" s="15">
        <f t="shared" si="3"/>
        <v>-0.16</v>
      </c>
      <c r="G63" s="15">
        <f t="shared" si="4"/>
        <v>-0.2</v>
      </c>
      <c r="H63" s="15">
        <f t="shared" si="5"/>
        <v>-0.4</v>
      </c>
      <c r="I63" s="15">
        <f t="shared" si="6"/>
        <v>-0.8</v>
      </c>
      <c r="J63" s="15">
        <f t="shared" si="7"/>
        <v>-1.6</v>
      </c>
      <c r="K63" s="15">
        <f t="shared" si="8"/>
        <v>-2</v>
      </c>
      <c r="L63" s="15">
        <f t="shared" si="9"/>
        <v>-20</v>
      </c>
      <c r="M63" s="34">
        <f t="shared" si="10"/>
        <v>960</v>
      </c>
    </row>
    <row r="64" spans="1:13" ht="12" x14ac:dyDescent="0.3">
      <c r="A64" s="5">
        <v>961</v>
      </c>
      <c r="B64" s="5">
        <v>-39</v>
      </c>
      <c r="C64" s="27">
        <f t="shared" si="0"/>
        <v>-1.95E-2</v>
      </c>
      <c r="D64" s="27">
        <f t="shared" si="1"/>
        <v>-3.9E-2</v>
      </c>
      <c r="E64" s="27">
        <f t="shared" si="2"/>
        <v>-7.8E-2</v>
      </c>
      <c r="F64" s="27">
        <f t="shared" si="3"/>
        <v>-0.156</v>
      </c>
      <c r="G64" s="27">
        <f t="shared" si="4"/>
        <v>-0.19500000000000001</v>
      </c>
      <c r="H64" s="27">
        <f t="shared" si="5"/>
        <v>-0.39</v>
      </c>
      <c r="I64" s="27">
        <f t="shared" si="6"/>
        <v>-0.78</v>
      </c>
      <c r="J64" s="27">
        <f t="shared" si="7"/>
        <v>-1.56</v>
      </c>
      <c r="K64" s="27">
        <f t="shared" si="8"/>
        <v>-1.95</v>
      </c>
      <c r="L64" s="27">
        <f t="shared" si="9"/>
        <v>-19.5</v>
      </c>
      <c r="M64" s="34">
        <f t="shared" si="10"/>
        <v>961</v>
      </c>
    </row>
    <row r="65" spans="1:13" ht="15" customHeight="1" x14ac:dyDescent="0.3">
      <c r="A65" s="5">
        <v>962</v>
      </c>
      <c r="B65" s="5">
        <v>-38</v>
      </c>
      <c r="C65" s="27">
        <f t="shared" si="0"/>
        <v>-1.9E-2</v>
      </c>
      <c r="D65" s="27">
        <f t="shared" si="1"/>
        <v>-3.7999999999999999E-2</v>
      </c>
      <c r="E65" s="27">
        <f t="shared" si="2"/>
        <v>-7.5999999999999998E-2</v>
      </c>
      <c r="F65" s="27">
        <f t="shared" si="3"/>
        <v>-0.152</v>
      </c>
      <c r="G65" s="27">
        <f t="shared" si="4"/>
        <v>-0.19</v>
      </c>
      <c r="H65" s="27">
        <f t="shared" si="5"/>
        <v>-0.38</v>
      </c>
      <c r="I65" s="27">
        <f t="shared" si="6"/>
        <v>-0.76</v>
      </c>
      <c r="J65" s="27">
        <f t="shared" si="7"/>
        <v>-1.52</v>
      </c>
      <c r="K65" s="27">
        <f t="shared" si="8"/>
        <v>-1.9</v>
      </c>
      <c r="L65" s="27">
        <f t="shared" si="9"/>
        <v>-19</v>
      </c>
      <c r="M65" s="34">
        <f t="shared" si="10"/>
        <v>962</v>
      </c>
    </row>
    <row r="66" spans="1:13" ht="15" customHeight="1" x14ac:dyDescent="0.3">
      <c r="A66" s="5">
        <v>963</v>
      </c>
      <c r="B66" s="5">
        <v>-37</v>
      </c>
      <c r="C66" s="27">
        <f t="shared" si="0"/>
        <v>-1.8499999999999999E-2</v>
      </c>
      <c r="D66" s="27">
        <f t="shared" si="1"/>
        <v>-3.6999999999999998E-2</v>
      </c>
      <c r="E66" s="27">
        <f t="shared" si="2"/>
        <v>-7.3999999999999996E-2</v>
      </c>
      <c r="F66" s="27">
        <f t="shared" si="3"/>
        <v>-0.14799999999999999</v>
      </c>
      <c r="G66" s="27">
        <f t="shared" si="4"/>
        <v>-0.185</v>
      </c>
      <c r="H66" s="27">
        <f t="shared" si="5"/>
        <v>-0.37</v>
      </c>
      <c r="I66" s="27">
        <f t="shared" si="6"/>
        <v>-0.74</v>
      </c>
      <c r="J66" s="27">
        <f t="shared" si="7"/>
        <v>-1.48</v>
      </c>
      <c r="K66" s="27">
        <f t="shared" si="8"/>
        <v>-1.8499999999999999</v>
      </c>
      <c r="L66" s="27">
        <f t="shared" si="9"/>
        <v>-18.5</v>
      </c>
      <c r="M66" s="34">
        <f t="shared" si="10"/>
        <v>963</v>
      </c>
    </row>
    <row r="67" spans="1:13" ht="15" customHeight="1" x14ac:dyDescent="0.3">
      <c r="A67" s="5">
        <v>964</v>
      </c>
      <c r="B67" s="5">
        <v>-36</v>
      </c>
      <c r="C67" s="27">
        <f t="shared" si="0"/>
        <v>-1.7999999999999999E-2</v>
      </c>
      <c r="D67" s="27">
        <f t="shared" si="1"/>
        <v>-3.5999999999999997E-2</v>
      </c>
      <c r="E67" s="27">
        <f t="shared" si="2"/>
        <v>-7.1999999999999995E-2</v>
      </c>
      <c r="F67" s="27">
        <f t="shared" si="3"/>
        <v>-0.14399999999999999</v>
      </c>
      <c r="G67" s="27">
        <f t="shared" si="4"/>
        <v>-0.18</v>
      </c>
      <c r="H67" s="27">
        <f t="shared" si="5"/>
        <v>-0.36</v>
      </c>
      <c r="I67" s="27">
        <f t="shared" si="6"/>
        <v>-0.72</v>
      </c>
      <c r="J67" s="27">
        <f t="shared" si="7"/>
        <v>-1.44</v>
      </c>
      <c r="K67" s="27">
        <f t="shared" si="8"/>
        <v>-1.7999999999999998</v>
      </c>
      <c r="L67" s="27">
        <f t="shared" si="9"/>
        <v>-18</v>
      </c>
      <c r="M67" s="34">
        <f t="shared" si="10"/>
        <v>964</v>
      </c>
    </row>
    <row r="68" spans="1:13" ht="15" customHeight="1" x14ac:dyDescent="0.3">
      <c r="A68" s="5">
        <v>965</v>
      </c>
      <c r="B68" s="5">
        <v>-35</v>
      </c>
      <c r="C68" s="27">
        <f t="shared" ref="C68:C131" si="11">(1/2)*(B68/1000)*1</f>
        <v>-1.7500000000000002E-2</v>
      </c>
      <c r="D68" s="27">
        <f t="shared" ref="D68:D131" si="12">C68*2</f>
        <v>-3.5000000000000003E-2</v>
      </c>
      <c r="E68" s="27">
        <f t="shared" ref="E68:E131" si="13">C68*4</f>
        <v>-7.0000000000000007E-2</v>
      </c>
      <c r="F68" s="27">
        <f t="shared" ref="F68:F131" si="14">C68*8</f>
        <v>-0.14000000000000001</v>
      </c>
      <c r="G68" s="27">
        <f t="shared" ref="G68:G131" si="15">C68*10</f>
        <v>-0.17500000000000002</v>
      </c>
      <c r="H68" s="27">
        <f t="shared" ref="H68:H131" si="16">C68*20</f>
        <v>-0.35000000000000003</v>
      </c>
      <c r="I68" s="27">
        <f t="shared" ref="I68:I131" si="17">C68*40</f>
        <v>-0.70000000000000007</v>
      </c>
      <c r="J68" s="27">
        <f t="shared" ref="J68:J131" si="18">C68*80</f>
        <v>-1.4000000000000001</v>
      </c>
      <c r="K68" s="27">
        <f t="shared" ref="K68:K131" si="19">C68*100</f>
        <v>-1.7500000000000002</v>
      </c>
      <c r="L68" s="27">
        <f t="shared" ref="L68:L131" si="20">C68*1000</f>
        <v>-17.5</v>
      </c>
      <c r="M68" s="34">
        <f t="shared" ref="M68:M131" si="21">200*G68+1000</f>
        <v>965</v>
      </c>
    </row>
    <row r="69" spans="1:13" ht="15" customHeight="1" x14ac:dyDescent="0.3">
      <c r="A69" s="5">
        <v>966</v>
      </c>
      <c r="B69" s="5">
        <v>-34</v>
      </c>
      <c r="C69" s="27">
        <f t="shared" si="11"/>
        <v>-1.7000000000000001E-2</v>
      </c>
      <c r="D69" s="27">
        <f t="shared" si="12"/>
        <v>-3.4000000000000002E-2</v>
      </c>
      <c r="E69" s="27">
        <f t="shared" si="13"/>
        <v>-6.8000000000000005E-2</v>
      </c>
      <c r="F69" s="27">
        <f t="shared" si="14"/>
        <v>-0.13600000000000001</v>
      </c>
      <c r="G69" s="27">
        <f t="shared" si="15"/>
        <v>-0.17</v>
      </c>
      <c r="H69" s="27">
        <f t="shared" si="16"/>
        <v>-0.34</v>
      </c>
      <c r="I69" s="27">
        <f t="shared" si="17"/>
        <v>-0.68</v>
      </c>
      <c r="J69" s="27">
        <f t="shared" si="18"/>
        <v>-1.36</v>
      </c>
      <c r="K69" s="27">
        <f t="shared" si="19"/>
        <v>-1.7000000000000002</v>
      </c>
      <c r="L69" s="27">
        <f t="shared" si="20"/>
        <v>-17</v>
      </c>
      <c r="M69" s="34">
        <f t="shared" si="21"/>
        <v>966</v>
      </c>
    </row>
    <row r="70" spans="1:13" ht="15" customHeight="1" x14ac:dyDescent="0.3">
      <c r="A70" s="5">
        <v>967</v>
      </c>
      <c r="B70" s="5">
        <v>-33</v>
      </c>
      <c r="C70" s="27">
        <f t="shared" si="11"/>
        <v>-1.6500000000000001E-2</v>
      </c>
      <c r="D70" s="27">
        <f t="shared" si="12"/>
        <v>-3.3000000000000002E-2</v>
      </c>
      <c r="E70" s="27">
        <f t="shared" si="13"/>
        <v>-6.6000000000000003E-2</v>
      </c>
      <c r="F70" s="27">
        <f t="shared" si="14"/>
        <v>-0.13200000000000001</v>
      </c>
      <c r="G70" s="27">
        <f t="shared" si="15"/>
        <v>-0.16500000000000001</v>
      </c>
      <c r="H70" s="27">
        <f t="shared" si="16"/>
        <v>-0.33</v>
      </c>
      <c r="I70" s="27">
        <f t="shared" si="17"/>
        <v>-0.66</v>
      </c>
      <c r="J70" s="27">
        <f t="shared" si="18"/>
        <v>-1.32</v>
      </c>
      <c r="K70" s="27">
        <f t="shared" si="19"/>
        <v>-1.6500000000000001</v>
      </c>
      <c r="L70" s="27">
        <f t="shared" si="20"/>
        <v>-16.5</v>
      </c>
      <c r="M70" s="34">
        <f t="shared" si="21"/>
        <v>967</v>
      </c>
    </row>
    <row r="71" spans="1:13" ht="15" customHeight="1" x14ac:dyDescent="0.3">
      <c r="A71" s="5">
        <v>968</v>
      </c>
      <c r="B71" s="5">
        <v>-32</v>
      </c>
      <c r="C71" s="27">
        <f t="shared" si="11"/>
        <v>-1.6E-2</v>
      </c>
      <c r="D71" s="27">
        <f t="shared" si="12"/>
        <v>-3.2000000000000001E-2</v>
      </c>
      <c r="E71" s="27">
        <f t="shared" si="13"/>
        <v>-6.4000000000000001E-2</v>
      </c>
      <c r="F71" s="27">
        <f t="shared" si="14"/>
        <v>-0.128</v>
      </c>
      <c r="G71" s="27">
        <f t="shared" si="15"/>
        <v>-0.16</v>
      </c>
      <c r="H71" s="27">
        <f t="shared" si="16"/>
        <v>-0.32</v>
      </c>
      <c r="I71" s="27">
        <f t="shared" si="17"/>
        <v>-0.64</v>
      </c>
      <c r="J71" s="27">
        <f t="shared" si="18"/>
        <v>-1.28</v>
      </c>
      <c r="K71" s="27">
        <f t="shared" si="19"/>
        <v>-1.6</v>
      </c>
      <c r="L71" s="27">
        <f t="shared" si="20"/>
        <v>-16</v>
      </c>
      <c r="M71" s="34">
        <f t="shared" si="21"/>
        <v>968</v>
      </c>
    </row>
    <row r="72" spans="1:13" ht="15" customHeight="1" x14ac:dyDescent="0.3">
      <c r="A72" s="5">
        <v>969</v>
      </c>
      <c r="B72" s="5">
        <v>-31</v>
      </c>
      <c r="C72" s="27">
        <f t="shared" si="11"/>
        <v>-1.55E-2</v>
      </c>
      <c r="D72" s="27">
        <f t="shared" si="12"/>
        <v>-3.1E-2</v>
      </c>
      <c r="E72" s="27">
        <f t="shared" si="13"/>
        <v>-6.2E-2</v>
      </c>
      <c r="F72" s="27">
        <f t="shared" si="14"/>
        <v>-0.124</v>
      </c>
      <c r="G72" s="27">
        <f t="shared" si="15"/>
        <v>-0.155</v>
      </c>
      <c r="H72" s="27">
        <f t="shared" si="16"/>
        <v>-0.31</v>
      </c>
      <c r="I72" s="27">
        <f t="shared" si="17"/>
        <v>-0.62</v>
      </c>
      <c r="J72" s="27">
        <f t="shared" si="18"/>
        <v>-1.24</v>
      </c>
      <c r="K72" s="27">
        <f t="shared" si="19"/>
        <v>-1.55</v>
      </c>
      <c r="L72" s="27">
        <f t="shared" si="20"/>
        <v>-15.5</v>
      </c>
      <c r="M72" s="34">
        <f t="shared" si="21"/>
        <v>969</v>
      </c>
    </row>
    <row r="73" spans="1:13" ht="15" customHeight="1" x14ac:dyDescent="0.3">
      <c r="A73" s="9">
        <v>970</v>
      </c>
      <c r="B73" s="5">
        <v>-30</v>
      </c>
      <c r="C73" s="15">
        <f t="shared" si="11"/>
        <v>-1.4999999999999999E-2</v>
      </c>
      <c r="D73" s="15">
        <f t="shared" si="12"/>
        <v>-0.03</v>
      </c>
      <c r="E73" s="15">
        <f t="shared" si="13"/>
        <v>-0.06</v>
      </c>
      <c r="F73" s="15">
        <f t="shared" si="14"/>
        <v>-0.12</v>
      </c>
      <c r="G73" s="15">
        <f t="shared" si="15"/>
        <v>-0.15</v>
      </c>
      <c r="H73" s="15">
        <f t="shared" si="16"/>
        <v>-0.3</v>
      </c>
      <c r="I73" s="15">
        <f t="shared" si="17"/>
        <v>-0.6</v>
      </c>
      <c r="J73" s="15">
        <f t="shared" si="18"/>
        <v>-1.2</v>
      </c>
      <c r="K73" s="15">
        <f t="shared" si="19"/>
        <v>-1.5</v>
      </c>
      <c r="L73" s="15">
        <f t="shared" si="20"/>
        <v>-15</v>
      </c>
      <c r="M73" s="34">
        <f t="shared" si="21"/>
        <v>970</v>
      </c>
    </row>
    <row r="74" spans="1:13" ht="15" customHeight="1" x14ac:dyDescent="0.3">
      <c r="A74" s="5">
        <v>971</v>
      </c>
      <c r="B74" s="5">
        <v>-29</v>
      </c>
      <c r="C74" s="27">
        <f t="shared" si="11"/>
        <v>-1.4500000000000001E-2</v>
      </c>
      <c r="D74" s="27">
        <f t="shared" si="12"/>
        <v>-2.9000000000000001E-2</v>
      </c>
      <c r="E74" s="27">
        <f t="shared" si="13"/>
        <v>-5.8000000000000003E-2</v>
      </c>
      <c r="F74" s="27">
        <f t="shared" si="14"/>
        <v>-0.11600000000000001</v>
      </c>
      <c r="G74" s="27">
        <f t="shared" si="15"/>
        <v>-0.14500000000000002</v>
      </c>
      <c r="H74" s="27">
        <f t="shared" si="16"/>
        <v>-0.29000000000000004</v>
      </c>
      <c r="I74" s="27">
        <f t="shared" si="17"/>
        <v>-0.58000000000000007</v>
      </c>
      <c r="J74" s="27">
        <f t="shared" si="18"/>
        <v>-1.1600000000000001</v>
      </c>
      <c r="K74" s="27">
        <f t="shared" si="19"/>
        <v>-1.4500000000000002</v>
      </c>
      <c r="L74" s="27">
        <f t="shared" si="20"/>
        <v>-14.5</v>
      </c>
      <c r="M74" s="34">
        <f t="shared" si="21"/>
        <v>971</v>
      </c>
    </row>
    <row r="75" spans="1:13" ht="15" customHeight="1" x14ac:dyDescent="0.3">
      <c r="A75" s="5">
        <v>972</v>
      </c>
      <c r="B75" s="5">
        <v>-28</v>
      </c>
      <c r="C75" s="27">
        <f t="shared" si="11"/>
        <v>-1.4E-2</v>
      </c>
      <c r="D75" s="27">
        <f t="shared" si="12"/>
        <v>-2.8000000000000001E-2</v>
      </c>
      <c r="E75" s="27">
        <f t="shared" si="13"/>
        <v>-5.6000000000000001E-2</v>
      </c>
      <c r="F75" s="27">
        <f t="shared" si="14"/>
        <v>-0.112</v>
      </c>
      <c r="G75" s="27">
        <f t="shared" si="15"/>
        <v>-0.14000000000000001</v>
      </c>
      <c r="H75" s="27">
        <f t="shared" si="16"/>
        <v>-0.28000000000000003</v>
      </c>
      <c r="I75" s="27">
        <f t="shared" si="17"/>
        <v>-0.56000000000000005</v>
      </c>
      <c r="J75" s="27">
        <f t="shared" si="18"/>
        <v>-1.1200000000000001</v>
      </c>
      <c r="K75" s="27">
        <f t="shared" si="19"/>
        <v>-1.4000000000000001</v>
      </c>
      <c r="L75" s="27">
        <f t="shared" si="20"/>
        <v>-14</v>
      </c>
      <c r="M75" s="34">
        <f t="shared" si="21"/>
        <v>972</v>
      </c>
    </row>
    <row r="76" spans="1:13" ht="15" customHeight="1" x14ac:dyDescent="0.3">
      <c r="A76" s="5">
        <v>973</v>
      </c>
      <c r="B76" s="5">
        <v>-27</v>
      </c>
      <c r="C76" s="27">
        <f t="shared" si="11"/>
        <v>-1.35E-2</v>
      </c>
      <c r="D76" s="27">
        <f t="shared" si="12"/>
        <v>-2.7E-2</v>
      </c>
      <c r="E76" s="27">
        <f t="shared" si="13"/>
        <v>-5.3999999999999999E-2</v>
      </c>
      <c r="F76" s="27">
        <f t="shared" si="14"/>
        <v>-0.108</v>
      </c>
      <c r="G76" s="27">
        <f t="shared" si="15"/>
        <v>-0.13500000000000001</v>
      </c>
      <c r="H76" s="27">
        <f t="shared" si="16"/>
        <v>-0.27</v>
      </c>
      <c r="I76" s="27">
        <f t="shared" si="17"/>
        <v>-0.54</v>
      </c>
      <c r="J76" s="27">
        <f t="shared" si="18"/>
        <v>-1.08</v>
      </c>
      <c r="K76" s="27">
        <f t="shared" si="19"/>
        <v>-1.35</v>
      </c>
      <c r="L76" s="27">
        <f t="shared" si="20"/>
        <v>-13.5</v>
      </c>
      <c r="M76" s="34">
        <f t="shared" si="21"/>
        <v>973</v>
      </c>
    </row>
    <row r="77" spans="1:13" ht="15" customHeight="1" x14ac:dyDescent="0.3">
      <c r="A77" s="5">
        <v>974</v>
      </c>
      <c r="B77" s="5">
        <v>-26</v>
      </c>
      <c r="C77" s="27">
        <f t="shared" si="11"/>
        <v>-1.2999999999999999E-2</v>
      </c>
      <c r="D77" s="27">
        <f t="shared" si="12"/>
        <v>-2.5999999999999999E-2</v>
      </c>
      <c r="E77" s="27">
        <f t="shared" si="13"/>
        <v>-5.1999999999999998E-2</v>
      </c>
      <c r="F77" s="27">
        <f t="shared" si="14"/>
        <v>-0.104</v>
      </c>
      <c r="G77" s="27">
        <f t="shared" si="15"/>
        <v>-0.13</v>
      </c>
      <c r="H77" s="27">
        <f t="shared" si="16"/>
        <v>-0.26</v>
      </c>
      <c r="I77" s="27">
        <f t="shared" si="17"/>
        <v>-0.52</v>
      </c>
      <c r="J77" s="27">
        <f t="shared" si="18"/>
        <v>-1.04</v>
      </c>
      <c r="K77" s="27">
        <f t="shared" si="19"/>
        <v>-1.3</v>
      </c>
      <c r="L77" s="27">
        <f t="shared" si="20"/>
        <v>-13</v>
      </c>
      <c r="M77" s="34">
        <f t="shared" si="21"/>
        <v>974</v>
      </c>
    </row>
    <row r="78" spans="1:13" ht="15" customHeight="1" x14ac:dyDescent="0.3">
      <c r="A78" s="5">
        <v>975</v>
      </c>
      <c r="B78" s="5">
        <v>-25</v>
      </c>
      <c r="C78" s="27">
        <f t="shared" si="11"/>
        <v>-1.2500000000000001E-2</v>
      </c>
      <c r="D78" s="27">
        <f t="shared" si="12"/>
        <v>-2.5000000000000001E-2</v>
      </c>
      <c r="E78" s="27">
        <f t="shared" si="13"/>
        <v>-0.05</v>
      </c>
      <c r="F78" s="27">
        <f t="shared" si="14"/>
        <v>-0.1</v>
      </c>
      <c r="G78" s="27">
        <f t="shared" si="15"/>
        <v>-0.125</v>
      </c>
      <c r="H78" s="27">
        <f t="shared" si="16"/>
        <v>-0.25</v>
      </c>
      <c r="I78" s="27">
        <f t="shared" si="17"/>
        <v>-0.5</v>
      </c>
      <c r="J78" s="27">
        <f t="shared" si="18"/>
        <v>-1</v>
      </c>
      <c r="K78" s="27">
        <f t="shared" si="19"/>
        <v>-1.25</v>
      </c>
      <c r="L78" s="27">
        <f t="shared" si="20"/>
        <v>-12.5</v>
      </c>
      <c r="M78" s="34">
        <f t="shared" si="21"/>
        <v>975</v>
      </c>
    </row>
    <row r="79" spans="1:13" ht="15" customHeight="1" x14ac:dyDescent="0.3">
      <c r="A79" s="5">
        <v>976</v>
      </c>
      <c r="B79" s="5">
        <v>-24</v>
      </c>
      <c r="C79" s="27">
        <f t="shared" si="11"/>
        <v>-1.2E-2</v>
      </c>
      <c r="D79" s="27">
        <f t="shared" si="12"/>
        <v>-2.4E-2</v>
      </c>
      <c r="E79" s="27">
        <f t="shared" si="13"/>
        <v>-4.8000000000000001E-2</v>
      </c>
      <c r="F79" s="27">
        <f t="shared" si="14"/>
        <v>-9.6000000000000002E-2</v>
      </c>
      <c r="G79" s="27">
        <f t="shared" si="15"/>
        <v>-0.12</v>
      </c>
      <c r="H79" s="27">
        <f t="shared" si="16"/>
        <v>-0.24</v>
      </c>
      <c r="I79" s="27">
        <f t="shared" si="17"/>
        <v>-0.48</v>
      </c>
      <c r="J79" s="27">
        <f t="shared" si="18"/>
        <v>-0.96</v>
      </c>
      <c r="K79" s="27">
        <f t="shared" si="19"/>
        <v>-1.2</v>
      </c>
      <c r="L79" s="27">
        <f t="shared" si="20"/>
        <v>-12</v>
      </c>
      <c r="M79" s="34">
        <f t="shared" si="21"/>
        <v>976</v>
      </c>
    </row>
    <row r="80" spans="1:13" ht="15" customHeight="1" x14ac:dyDescent="0.3">
      <c r="A80" s="5">
        <v>977</v>
      </c>
      <c r="B80" s="5">
        <v>-23</v>
      </c>
      <c r="C80" s="27">
        <f t="shared" si="11"/>
        <v>-1.15E-2</v>
      </c>
      <c r="D80" s="27">
        <f t="shared" si="12"/>
        <v>-2.3E-2</v>
      </c>
      <c r="E80" s="27">
        <f t="shared" si="13"/>
        <v>-4.5999999999999999E-2</v>
      </c>
      <c r="F80" s="27">
        <f t="shared" si="14"/>
        <v>-9.1999999999999998E-2</v>
      </c>
      <c r="G80" s="27">
        <f t="shared" si="15"/>
        <v>-0.11499999999999999</v>
      </c>
      <c r="H80" s="27">
        <f t="shared" si="16"/>
        <v>-0.22999999999999998</v>
      </c>
      <c r="I80" s="27">
        <f t="shared" si="17"/>
        <v>-0.45999999999999996</v>
      </c>
      <c r="J80" s="27">
        <f t="shared" si="18"/>
        <v>-0.91999999999999993</v>
      </c>
      <c r="K80" s="27">
        <f t="shared" si="19"/>
        <v>-1.1499999999999999</v>
      </c>
      <c r="L80" s="27">
        <f t="shared" si="20"/>
        <v>-11.5</v>
      </c>
      <c r="M80" s="34">
        <f t="shared" si="21"/>
        <v>977</v>
      </c>
    </row>
    <row r="81" spans="1:13" ht="15" customHeight="1" x14ac:dyDescent="0.3">
      <c r="A81" s="5">
        <v>978</v>
      </c>
      <c r="B81" s="5">
        <v>-22</v>
      </c>
      <c r="C81" s="27">
        <f t="shared" si="11"/>
        <v>-1.0999999999999999E-2</v>
      </c>
      <c r="D81" s="27">
        <f t="shared" si="12"/>
        <v>-2.1999999999999999E-2</v>
      </c>
      <c r="E81" s="27">
        <f t="shared" si="13"/>
        <v>-4.3999999999999997E-2</v>
      </c>
      <c r="F81" s="27">
        <f t="shared" si="14"/>
        <v>-8.7999999999999995E-2</v>
      </c>
      <c r="G81" s="27">
        <f t="shared" si="15"/>
        <v>-0.10999999999999999</v>
      </c>
      <c r="H81" s="27">
        <f t="shared" si="16"/>
        <v>-0.21999999999999997</v>
      </c>
      <c r="I81" s="27">
        <f t="shared" si="17"/>
        <v>-0.43999999999999995</v>
      </c>
      <c r="J81" s="27">
        <f t="shared" si="18"/>
        <v>-0.87999999999999989</v>
      </c>
      <c r="K81" s="27">
        <f t="shared" si="19"/>
        <v>-1.0999999999999999</v>
      </c>
      <c r="L81" s="27">
        <f t="shared" si="20"/>
        <v>-11</v>
      </c>
      <c r="M81" s="34">
        <f t="shared" si="21"/>
        <v>978</v>
      </c>
    </row>
    <row r="82" spans="1:13" ht="15" customHeight="1" x14ac:dyDescent="0.3">
      <c r="A82" s="5">
        <v>979</v>
      </c>
      <c r="B82" s="5">
        <v>-21</v>
      </c>
      <c r="C82" s="27">
        <f t="shared" si="11"/>
        <v>-1.0500000000000001E-2</v>
      </c>
      <c r="D82" s="27">
        <f t="shared" si="12"/>
        <v>-2.1000000000000001E-2</v>
      </c>
      <c r="E82" s="27">
        <f t="shared" si="13"/>
        <v>-4.2000000000000003E-2</v>
      </c>
      <c r="F82" s="27">
        <f t="shared" si="14"/>
        <v>-8.4000000000000005E-2</v>
      </c>
      <c r="G82" s="27">
        <f t="shared" si="15"/>
        <v>-0.10500000000000001</v>
      </c>
      <c r="H82" s="27">
        <f t="shared" si="16"/>
        <v>-0.21000000000000002</v>
      </c>
      <c r="I82" s="27">
        <f t="shared" si="17"/>
        <v>-0.42000000000000004</v>
      </c>
      <c r="J82" s="27">
        <f t="shared" si="18"/>
        <v>-0.84000000000000008</v>
      </c>
      <c r="K82" s="27">
        <f t="shared" si="19"/>
        <v>-1.05</v>
      </c>
      <c r="L82" s="27">
        <f t="shared" si="20"/>
        <v>-10.5</v>
      </c>
      <c r="M82" s="34">
        <f t="shared" si="21"/>
        <v>979</v>
      </c>
    </row>
    <row r="83" spans="1:13" ht="15" customHeight="1" x14ac:dyDescent="0.3">
      <c r="A83" s="9">
        <v>980</v>
      </c>
      <c r="B83" s="5">
        <v>-20</v>
      </c>
      <c r="C83" s="15">
        <f t="shared" si="11"/>
        <v>-0.01</v>
      </c>
      <c r="D83" s="15">
        <f t="shared" si="12"/>
        <v>-0.02</v>
      </c>
      <c r="E83" s="15">
        <f t="shared" si="13"/>
        <v>-0.04</v>
      </c>
      <c r="F83" s="15">
        <f t="shared" si="14"/>
        <v>-0.08</v>
      </c>
      <c r="G83" s="15">
        <f t="shared" si="15"/>
        <v>-0.1</v>
      </c>
      <c r="H83" s="15">
        <f t="shared" si="16"/>
        <v>-0.2</v>
      </c>
      <c r="I83" s="15">
        <f t="shared" si="17"/>
        <v>-0.4</v>
      </c>
      <c r="J83" s="15">
        <f t="shared" si="18"/>
        <v>-0.8</v>
      </c>
      <c r="K83" s="15">
        <f t="shared" si="19"/>
        <v>-1</v>
      </c>
      <c r="L83" s="15">
        <f t="shared" si="20"/>
        <v>-10</v>
      </c>
      <c r="M83" s="34">
        <f t="shared" si="21"/>
        <v>980</v>
      </c>
    </row>
    <row r="84" spans="1:13" ht="15" customHeight="1" x14ac:dyDescent="0.3">
      <c r="A84" s="5">
        <v>981</v>
      </c>
      <c r="B84" s="5">
        <v>-19</v>
      </c>
      <c r="C84" s="27">
        <f t="shared" si="11"/>
        <v>-9.4999999999999998E-3</v>
      </c>
      <c r="D84" s="27">
        <f t="shared" si="12"/>
        <v>-1.9E-2</v>
      </c>
      <c r="E84" s="27">
        <f t="shared" si="13"/>
        <v>-3.7999999999999999E-2</v>
      </c>
      <c r="F84" s="27">
        <f t="shared" si="14"/>
        <v>-7.5999999999999998E-2</v>
      </c>
      <c r="G84" s="27">
        <f t="shared" si="15"/>
        <v>-9.5000000000000001E-2</v>
      </c>
      <c r="H84" s="27">
        <f t="shared" si="16"/>
        <v>-0.19</v>
      </c>
      <c r="I84" s="27">
        <f t="shared" si="17"/>
        <v>-0.38</v>
      </c>
      <c r="J84" s="27">
        <f t="shared" si="18"/>
        <v>-0.76</v>
      </c>
      <c r="K84" s="27">
        <f t="shared" si="19"/>
        <v>-0.95</v>
      </c>
      <c r="L84" s="27">
        <f t="shared" si="20"/>
        <v>-9.5</v>
      </c>
      <c r="M84" s="34">
        <f t="shared" si="21"/>
        <v>981</v>
      </c>
    </row>
    <row r="85" spans="1:13" ht="15" customHeight="1" x14ac:dyDescent="0.3">
      <c r="A85" s="5">
        <v>982</v>
      </c>
      <c r="B85" s="5">
        <v>-18</v>
      </c>
      <c r="C85" s="27">
        <f t="shared" si="11"/>
        <v>-8.9999999999999993E-3</v>
      </c>
      <c r="D85" s="27">
        <f t="shared" si="12"/>
        <v>-1.7999999999999999E-2</v>
      </c>
      <c r="E85" s="27">
        <f t="shared" si="13"/>
        <v>-3.5999999999999997E-2</v>
      </c>
      <c r="F85" s="27">
        <f t="shared" si="14"/>
        <v>-7.1999999999999995E-2</v>
      </c>
      <c r="G85" s="27">
        <f t="shared" si="15"/>
        <v>-0.09</v>
      </c>
      <c r="H85" s="27">
        <f t="shared" si="16"/>
        <v>-0.18</v>
      </c>
      <c r="I85" s="27">
        <f t="shared" si="17"/>
        <v>-0.36</v>
      </c>
      <c r="J85" s="27">
        <f t="shared" si="18"/>
        <v>-0.72</v>
      </c>
      <c r="K85" s="27">
        <f t="shared" si="19"/>
        <v>-0.89999999999999991</v>
      </c>
      <c r="L85" s="27">
        <f t="shared" si="20"/>
        <v>-9</v>
      </c>
      <c r="M85" s="34">
        <f t="shared" si="21"/>
        <v>982</v>
      </c>
    </row>
    <row r="86" spans="1:13" ht="15" customHeight="1" x14ac:dyDescent="0.3">
      <c r="A86" s="5">
        <v>983</v>
      </c>
      <c r="B86" s="5">
        <v>-17</v>
      </c>
      <c r="C86" s="27">
        <f t="shared" si="11"/>
        <v>-8.5000000000000006E-3</v>
      </c>
      <c r="D86" s="27">
        <f t="shared" si="12"/>
        <v>-1.7000000000000001E-2</v>
      </c>
      <c r="E86" s="27">
        <f t="shared" si="13"/>
        <v>-3.4000000000000002E-2</v>
      </c>
      <c r="F86" s="27">
        <f t="shared" si="14"/>
        <v>-6.8000000000000005E-2</v>
      </c>
      <c r="G86" s="27">
        <f t="shared" si="15"/>
        <v>-8.5000000000000006E-2</v>
      </c>
      <c r="H86" s="27">
        <f t="shared" si="16"/>
        <v>-0.17</v>
      </c>
      <c r="I86" s="27">
        <f t="shared" si="17"/>
        <v>-0.34</v>
      </c>
      <c r="J86" s="27">
        <f t="shared" si="18"/>
        <v>-0.68</v>
      </c>
      <c r="K86" s="27">
        <f t="shared" si="19"/>
        <v>-0.85000000000000009</v>
      </c>
      <c r="L86" s="27">
        <f t="shared" si="20"/>
        <v>-8.5</v>
      </c>
      <c r="M86" s="34">
        <f t="shared" si="21"/>
        <v>983</v>
      </c>
    </row>
    <row r="87" spans="1:13" ht="15" customHeight="1" x14ac:dyDescent="0.3">
      <c r="A87" s="5">
        <v>984</v>
      </c>
      <c r="B87" s="5">
        <v>-16</v>
      </c>
      <c r="C87" s="27">
        <f t="shared" si="11"/>
        <v>-8.0000000000000002E-3</v>
      </c>
      <c r="D87" s="27">
        <f t="shared" si="12"/>
        <v>-1.6E-2</v>
      </c>
      <c r="E87" s="27">
        <f t="shared" si="13"/>
        <v>-3.2000000000000001E-2</v>
      </c>
      <c r="F87" s="27">
        <f t="shared" si="14"/>
        <v>-6.4000000000000001E-2</v>
      </c>
      <c r="G87" s="27">
        <f t="shared" si="15"/>
        <v>-0.08</v>
      </c>
      <c r="H87" s="27">
        <f t="shared" si="16"/>
        <v>-0.16</v>
      </c>
      <c r="I87" s="27">
        <f t="shared" si="17"/>
        <v>-0.32</v>
      </c>
      <c r="J87" s="27">
        <f t="shared" si="18"/>
        <v>-0.64</v>
      </c>
      <c r="K87" s="27">
        <f t="shared" si="19"/>
        <v>-0.8</v>
      </c>
      <c r="L87" s="27">
        <f t="shared" si="20"/>
        <v>-8</v>
      </c>
      <c r="M87" s="34">
        <f t="shared" si="21"/>
        <v>984</v>
      </c>
    </row>
    <row r="88" spans="1:13" ht="15" customHeight="1" x14ac:dyDescent="0.3">
      <c r="A88" s="5">
        <v>985</v>
      </c>
      <c r="B88" s="5">
        <v>-15</v>
      </c>
      <c r="C88" s="27">
        <f t="shared" si="11"/>
        <v>-7.4999999999999997E-3</v>
      </c>
      <c r="D88" s="27">
        <f t="shared" si="12"/>
        <v>-1.4999999999999999E-2</v>
      </c>
      <c r="E88" s="27">
        <f t="shared" si="13"/>
        <v>-0.03</v>
      </c>
      <c r="F88" s="27">
        <f t="shared" si="14"/>
        <v>-0.06</v>
      </c>
      <c r="G88" s="27">
        <f t="shared" si="15"/>
        <v>-7.4999999999999997E-2</v>
      </c>
      <c r="H88" s="27">
        <f t="shared" si="16"/>
        <v>-0.15</v>
      </c>
      <c r="I88" s="27">
        <f t="shared" si="17"/>
        <v>-0.3</v>
      </c>
      <c r="J88" s="27">
        <f t="shared" si="18"/>
        <v>-0.6</v>
      </c>
      <c r="K88" s="27">
        <f t="shared" si="19"/>
        <v>-0.75</v>
      </c>
      <c r="L88" s="27">
        <f t="shared" si="20"/>
        <v>-7.5</v>
      </c>
      <c r="M88" s="34">
        <f t="shared" si="21"/>
        <v>985</v>
      </c>
    </row>
    <row r="89" spans="1:13" ht="15" customHeight="1" x14ac:dyDescent="0.3">
      <c r="A89" s="5">
        <v>986</v>
      </c>
      <c r="B89" s="5">
        <v>-14</v>
      </c>
      <c r="C89" s="27">
        <f t="shared" si="11"/>
        <v>-7.0000000000000001E-3</v>
      </c>
      <c r="D89" s="27">
        <f t="shared" si="12"/>
        <v>-1.4E-2</v>
      </c>
      <c r="E89" s="27">
        <f t="shared" si="13"/>
        <v>-2.8000000000000001E-2</v>
      </c>
      <c r="F89" s="27">
        <f t="shared" si="14"/>
        <v>-5.6000000000000001E-2</v>
      </c>
      <c r="G89" s="27">
        <f t="shared" si="15"/>
        <v>-7.0000000000000007E-2</v>
      </c>
      <c r="H89" s="27">
        <f t="shared" si="16"/>
        <v>-0.14000000000000001</v>
      </c>
      <c r="I89" s="27">
        <f t="shared" si="17"/>
        <v>-0.28000000000000003</v>
      </c>
      <c r="J89" s="27">
        <f t="shared" si="18"/>
        <v>-0.56000000000000005</v>
      </c>
      <c r="K89" s="27">
        <f t="shared" si="19"/>
        <v>-0.70000000000000007</v>
      </c>
      <c r="L89" s="27">
        <f t="shared" si="20"/>
        <v>-7</v>
      </c>
      <c r="M89" s="34">
        <f t="shared" si="21"/>
        <v>986</v>
      </c>
    </row>
    <row r="90" spans="1:13" ht="15" customHeight="1" x14ac:dyDescent="0.3">
      <c r="A90" s="5">
        <v>987</v>
      </c>
      <c r="B90" s="5">
        <v>-13</v>
      </c>
      <c r="C90" s="27">
        <f t="shared" si="11"/>
        <v>-6.4999999999999997E-3</v>
      </c>
      <c r="D90" s="27">
        <f t="shared" si="12"/>
        <v>-1.2999999999999999E-2</v>
      </c>
      <c r="E90" s="27">
        <f t="shared" si="13"/>
        <v>-2.5999999999999999E-2</v>
      </c>
      <c r="F90" s="27">
        <f t="shared" si="14"/>
        <v>-5.1999999999999998E-2</v>
      </c>
      <c r="G90" s="27">
        <f t="shared" si="15"/>
        <v>-6.5000000000000002E-2</v>
      </c>
      <c r="H90" s="27">
        <f t="shared" si="16"/>
        <v>-0.13</v>
      </c>
      <c r="I90" s="27">
        <f t="shared" si="17"/>
        <v>-0.26</v>
      </c>
      <c r="J90" s="27">
        <f t="shared" si="18"/>
        <v>-0.52</v>
      </c>
      <c r="K90" s="27">
        <f t="shared" si="19"/>
        <v>-0.65</v>
      </c>
      <c r="L90" s="27">
        <f t="shared" si="20"/>
        <v>-6.5</v>
      </c>
      <c r="M90" s="34">
        <f t="shared" si="21"/>
        <v>987</v>
      </c>
    </row>
    <row r="91" spans="1:13" ht="15" customHeight="1" x14ac:dyDescent="0.3">
      <c r="A91" s="5">
        <v>988</v>
      </c>
      <c r="B91" s="5">
        <v>-12</v>
      </c>
      <c r="C91" s="27">
        <f t="shared" si="11"/>
        <v>-6.0000000000000001E-3</v>
      </c>
      <c r="D91" s="27">
        <f t="shared" si="12"/>
        <v>-1.2E-2</v>
      </c>
      <c r="E91" s="27">
        <f t="shared" si="13"/>
        <v>-2.4E-2</v>
      </c>
      <c r="F91" s="27">
        <f t="shared" si="14"/>
        <v>-4.8000000000000001E-2</v>
      </c>
      <c r="G91" s="27">
        <f t="shared" si="15"/>
        <v>-0.06</v>
      </c>
      <c r="H91" s="27">
        <f t="shared" si="16"/>
        <v>-0.12</v>
      </c>
      <c r="I91" s="27">
        <f t="shared" si="17"/>
        <v>-0.24</v>
      </c>
      <c r="J91" s="27">
        <f t="shared" si="18"/>
        <v>-0.48</v>
      </c>
      <c r="K91" s="27">
        <f t="shared" si="19"/>
        <v>-0.6</v>
      </c>
      <c r="L91" s="27">
        <f t="shared" si="20"/>
        <v>-6</v>
      </c>
      <c r="M91" s="34">
        <f t="shared" si="21"/>
        <v>988</v>
      </c>
    </row>
    <row r="92" spans="1:13" ht="15" customHeight="1" x14ac:dyDescent="0.3">
      <c r="A92" s="5">
        <v>989</v>
      </c>
      <c r="B92" s="5">
        <v>-11</v>
      </c>
      <c r="C92" s="27">
        <f t="shared" si="11"/>
        <v>-5.4999999999999997E-3</v>
      </c>
      <c r="D92" s="27">
        <f t="shared" si="12"/>
        <v>-1.0999999999999999E-2</v>
      </c>
      <c r="E92" s="27">
        <f t="shared" si="13"/>
        <v>-2.1999999999999999E-2</v>
      </c>
      <c r="F92" s="27">
        <f t="shared" si="14"/>
        <v>-4.3999999999999997E-2</v>
      </c>
      <c r="G92" s="27">
        <f t="shared" si="15"/>
        <v>-5.4999999999999993E-2</v>
      </c>
      <c r="H92" s="27">
        <f t="shared" si="16"/>
        <v>-0.10999999999999999</v>
      </c>
      <c r="I92" s="27">
        <f t="shared" si="17"/>
        <v>-0.21999999999999997</v>
      </c>
      <c r="J92" s="27">
        <f t="shared" si="18"/>
        <v>-0.43999999999999995</v>
      </c>
      <c r="K92" s="27">
        <f t="shared" si="19"/>
        <v>-0.54999999999999993</v>
      </c>
      <c r="L92" s="27">
        <f t="shared" si="20"/>
        <v>-5.5</v>
      </c>
      <c r="M92" s="34">
        <f t="shared" si="21"/>
        <v>989</v>
      </c>
    </row>
    <row r="93" spans="1:13" ht="15" customHeight="1" x14ac:dyDescent="0.3">
      <c r="A93" s="9">
        <v>990</v>
      </c>
      <c r="B93" s="5">
        <v>-10</v>
      </c>
      <c r="C93" s="15">
        <f t="shared" si="11"/>
        <v>-5.0000000000000001E-3</v>
      </c>
      <c r="D93" s="15">
        <f t="shared" si="12"/>
        <v>-0.01</v>
      </c>
      <c r="E93" s="15">
        <f t="shared" si="13"/>
        <v>-0.02</v>
      </c>
      <c r="F93" s="15">
        <f t="shared" si="14"/>
        <v>-0.04</v>
      </c>
      <c r="G93" s="15">
        <f t="shared" si="15"/>
        <v>-0.05</v>
      </c>
      <c r="H93" s="15">
        <f t="shared" si="16"/>
        <v>-0.1</v>
      </c>
      <c r="I93" s="15">
        <f t="shared" si="17"/>
        <v>-0.2</v>
      </c>
      <c r="J93" s="15">
        <f t="shared" si="18"/>
        <v>-0.4</v>
      </c>
      <c r="K93" s="15">
        <f t="shared" si="19"/>
        <v>-0.5</v>
      </c>
      <c r="L93" s="15">
        <f t="shared" si="20"/>
        <v>-5</v>
      </c>
      <c r="M93" s="34">
        <f t="shared" si="21"/>
        <v>990</v>
      </c>
    </row>
    <row r="94" spans="1:13" ht="15" customHeight="1" x14ac:dyDescent="0.3">
      <c r="A94" s="5">
        <v>991</v>
      </c>
      <c r="B94" s="5">
        <v>-9</v>
      </c>
      <c r="C94" s="27">
        <f t="shared" si="11"/>
        <v>-4.4999999999999997E-3</v>
      </c>
      <c r="D94" s="27">
        <f t="shared" si="12"/>
        <v>-8.9999999999999993E-3</v>
      </c>
      <c r="E94" s="27">
        <f t="shared" si="13"/>
        <v>-1.7999999999999999E-2</v>
      </c>
      <c r="F94" s="27">
        <f t="shared" si="14"/>
        <v>-3.5999999999999997E-2</v>
      </c>
      <c r="G94" s="27">
        <f t="shared" si="15"/>
        <v>-4.4999999999999998E-2</v>
      </c>
      <c r="H94" s="27">
        <f t="shared" si="16"/>
        <v>-0.09</v>
      </c>
      <c r="I94" s="27">
        <f t="shared" si="17"/>
        <v>-0.18</v>
      </c>
      <c r="J94" s="27">
        <f t="shared" si="18"/>
        <v>-0.36</v>
      </c>
      <c r="K94" s="27">
        <f t="shared" si="19"/>
        <v>-0.44999999999999996</v>
      </c>
      <c r="L94" s="27">
        <f t="shared" si="20"/>
        <v>-4.5</v>
      </c>
      <c r="M94" s="34">
        <f t="shared" si="21"/>
        <v>991</v>
      </c>
    </row>
    <row r="95" spans="1:13" ht="15" customHeight="1" x14ac:dyDescent="0.3">
      <c r="A95" s="5">
        <v>992</v>
      </c>
      <c r="B95" s="5">
        <v>-8</v>
      </c>
      <c r="C95" s="27">
        <f t="shared" si="11"/>
        <v>-4.0000000000000001E-3</v>
      </c>
      <c r="D95" s="27">
        <f t="shared" si="12"/>
        <v>-8.0000000000000002E-3</v>
      </c>
      <c r="E95" s="27">
        <f t="shared" si="13"/>
        <v>-1.6E-2</v>
      </c>
      <c r="F95" s="27">
        <f t="shared" si="14"/>
        <v>-3.2000000000000001E-2</v>
      </c>
      <c r="G95" s="27">
        <f t="shared" si="15"/>
        <v>-0.04</v>
      </c>
      <c r="H95" s="27">
        <f t="shared" si="16"/>
        <v>-0.08</v>
      </c>
      <c r="I95" s="27">
        <f t="shared" si="17"/>
        <v>-0.16</v>
      </c>
      <c r="J95" s="27">
        <f t="shared" si="18"/>
        <v>-0.32</v>
      </c>
      <c r="K95" s="27">
        <f t="shared" si="19"/>
        <v>-0.4</v>
      </c>
      <c r="L95" s="27">
        <f t="shared" si="20"/>
        <v>-4</v>
      </c>
      <c r="M95" s="34">
        <f t="shared" si="21"/>
        <v>992</v>
      </c>
    </row>
    <row r="96" spans="1:13" ht="15" customHeight="1" x14ac:dyDescent="0.3">
      <c r="A96" s="5">
        <v>993</v>
      </c>
      <c r="B96" s="5">
        <v>-7</v>
      </c>
      <c r="C96" s="27">
        <f t="shared" si="11"/>
        <v>-3.5000000000000001E-3</v>
      </c>
      <c r="D96" s="27">
        <f t="shared" si="12"/>
        <v>-7.0000000000000001E-3</v>
      </c>
      <c r="E96" s="27">
        <f t="shared" si="13"/>
        <v>-1.4E-2</v>
      </c>
      <c r="F96" s="27">
        <f t="shared" si="14"/>
        <v>-2.8000000000000001E-2</v>
      </c>
      <c r="G96" s="27">
        <f t="shared" si="15"/>
        <v>-3.5000000000000003E-2</v>
      </c>
      <c r="H96" s="27">
        <f t="shared" si="16"/>
        <v>-7.0000000000000007E-2</v>
      </c>
      <c r="I96" s="27">
        <f t="shared" si="17"/>
        <v>-0.14000000000000001</v>
      </c>
      <c r="J96" s="27">
        <f t="shared" si="18"/>
        <v>-0.28000000000000003</v>
      </c>
      <c r="K96" s="27">
        <f t="shared" si="19"/>
        <v>-0.35000000000000003</v>
      </c>
      <c r="L96" s="27">
        <f t="shared" si="20"/>
        <v>-3.5</v>
      </c>
      <c r="M96" s="34">
        <f t="shared" si="21"/>
        <v>993</v>
      </c>
    </row>
    <row r="97" spans="1:13" ht="15" customHeight="1" x14ac:dyDescent="0.3">
      <c r="A97" s="5">
        <v>994</v>
      </c>
      <c r="B97" s="5">
        <v>-6</v>
      </c>
      <c r="C97" s="27">
        <f t="shared" si="11"/>
        <v>-3.0000000000000001E-3</v>
      </c>
      <c r="D97" s="27">
        <f t="shared" si="12"/>
        <v>-6.0000000000000001E-3</v>
      </c>
      <c r="E97" s="27">
        <f t="shared" si="13"/>
        <v>-1.2E-2</v>
      </c>
      <c r="F97" s="27">
        <f t="shared" si="14"/>
        <v>-2.4E-2</v>
      </c>
      <c r="G97" s="27">
        <f t="shared" si="15"/>
        <v>-0.03</v>
      </c>
      <c r="H97" s="27">
        <f t="shared" si="16"/>
        <v>-0.06</v>
      </c>
      <c r="I97" s="27">
        <f t="shared" si="17"/>
        <v>-0.12</v>
      </c>
      <c r="J97" s="27">
        <f t="shared" si="18"/>
        <v>-0.24</v>
      </c>
      <c r="K97" s="27">
        <f t="shared" si="19"/>
        <v>-0.3</v>
      </c>
      <c r="L97" s="27">
        <f t="shared" si="20"/>
        <v>-3</v>
      </c>
      <c r="M97" s="34">
        <f t="shared" si="21"/>
        <v>994</v>
      </c>
    </row>
    <row r="98" spans="1:13" ht="15" customHeight="1" x14ac:dyDescent="0.3">
      <c r="A98" s="5">
        <v>995</v>
      </c>
      <c r="B98" s="5">
        <v>-5</v>
      </c>
      <c r="C98" s="27">
        <f t="shared" si="11"/>
        <v>-2.5000000000000001E-3</v>
      </c>
      <c r="D98" s="27">
        <f t="shared" si="12"/>
        <v>-5.0000000000000001E-3</v>
      </c>
      <c r="E98" s="27">
        <f t="shared" si="13"/>
        <v>-0.01</v>
      </c>
      <c r="F98" s="27">
        <f t="shared" si="14"/>
        <v>-0.02</v>
      </c>
      <c r="G98" s="27">
        <f t="shared" si="15"/>
        <v>-2.5000000000000001E-2</v>
      </c>
      <c r="H98" s="27">
        <f t="shared" si="16"/>
        <v>-0.05</v>
      </c>
      <c r="I98" s="27">
        <f t="shared" si="17"/>
        <v>-0.1</v>
      </c>
      <c r="J98" s="27">
        <f t="shared" si="18"/>
        <v>-0.2</v>
      </c>
      <c r="K98" s="27">
        <f t="shared" si="19"/>
        <v>-0.25</v>
      </c>
      <c r="L98" s="27">
        <f t="shared" si="20"/>
        <v>-2.5</v>
      </c>
      <c r="M98" s="34">
        <f t="shared" si="21"/>
        <v>995</v>
      </c>
    </row>
    <row r="99" spans="1:13" ht="15" customHeight="1" x14ac:dyDescent="0.3">
      <c r="A99" s="5">
        <v>996</v>
      </c>
      <c r="B99" s="5">
        <v>-4</v>
      </c>
      <c r="C99" s="27">
        <f t="shared" si="11"/>
        <v>-2E-3</v>
      </c>
      <c r="D99" s="27">
        <f t="shared" si="12"/>
        <v>-4.0000000000000001E-3</v>
      </c>
      <c r="E99" s="27">
        <f t="shared" si="13"/>
        <v>-8.0000000000000002E-3</v>
      </c>
      <c r="F99" s="27">
        <f t="shared" si="14"/>
        <v>-1.6E-2</v>
      </c>
      <c r="G99" s="27">
        <f t="shared" si="15"/>
        <v>-0.02</v>
      </c>
      <c r="H99" s="27">
        <f t="shared" si="16"/>
        <v>-0.04</v>
      </c>
      <c r="I99" s="27">
        <f t="shared" si="17"/>
        <v>-0.08</v>
      </c>
      <c r="J99" s="27">
        <f t="shared" si="18"/>
        <v>-0.16</v>
      </c>
      <c r="K99" s="27">
        <f t="shared" si="19"/>
        <v>-0.2</v>
      </c>
      <c r="L99" s="27">
        <f t="shared" si="20"/>
        <v>-2</v>
      </c>
      <c r="M99" s="34">
        <f t="shared" si="21"/>
        <v>996</v>
      </c>
    </row>
    <row r="100" spans="1:13" ht="15" customHeight="1" x14ac:dyDescent="0.3">
      <c r="A100" s="5">
        <v>997</v>
      </c>
      <c r="B100" s="5">
        <v>-3</v>
      </c>
      <c r="C100" s="27">
        <f t="shared" si="11"/>
        <v>-1.5E-3</v>
      </c>
      <c r="D100" s="27">
        <f t="shared" si="12"/>
        <v>-3.0000000000000001E-3</v>
      </c>
      <c r="E100" s="27">
        <f t="shared" si="13"/>
        <v>-6.0000000000000001E-3</v>
      </c>
      <c r="F100" s="27">
        <f t="shared" si="14"/>
        <v>-1.2E-2</v>
      </c>
      <c r="G100" s="27">
        <f t="shared" si="15"/>
        <v>-1.4999999999999999E-2</v>
      </c>
      <c r="H100" s="27">
        <f t="shared" si="16"/>
        <v>-0.03</v>
      </c>
      <c r="I100" s="27">
        <f t="shared" si="17"/>
        <v>-0.06</v>
      </c>
      <c r="J100" s="27">
        <f t="shared" si="18"/>
        <v>-0.12</v>
      </c>
      <c r="K100" s="27">
        <f t="shared" si="19"/>
        <v>-0.15</v>
      </c>
      <c r="L100" s="27">
        <f t="shared" si="20"/>
        <v>-1.5</v>
      </c>
      <c r="M100" s="34">
        <f t="shared" si="21"/>
        <v>997</v>
      </c>
    </row>
    <row r="101" spans="1:13" ht="15" customHeight="1" x14ac:dyDescent="0.3">
      <c r="A101" s="5">
        <v>998</v>
      </c>
      <c r="B101" s="5">
        <v>-2</v>
      </c>
      <c r="C101" s="27">
        <f t="shared" si="11"/>
        <v>-1E-3</v>
      </c>
      <c r="D101" s="27">
        <f t="shared" si="12"/>
        <v>-2E-3</v>
      </c>
      <c r="E101" s="27">
        <f t="shared" si="13"/>
        <v>-4.0000000000000001E-3</v>
      </c>
      <c r="F101" s="27">
        <f t="shared" si="14"/>
        <v>-8.0000000000000002E-3</v>
      </c>
      <c r="G101" s="27">
        <f t="shared" si="15"/>
        <v>-0.01</v>
      </c>
      <c r="H101" s="27">
        <f t="shared" si="16"/>
        <v>-0.02</v>
      </c>
      <c r="I101" s="27">
        <f t="shared" si="17"/>
        <v>-0.04</v>
      </c>
      <c r="J101" s="27">
        <f t="shared" si="18"/>
        <v>-0.08</v>
      </c>
      <c r="K101" s="27">
        <f t="shared" si="19"/>
        <v>-0.1</v>
      </c>
      <c r="L101" s="27">
        <f t="shared" si="20"/>
        <v>-1</v>
      </c>
      <c r="M101" s="34">
        <f t="shared" si="21"/>
        <v>998</v>
      </c>
    </row>
    <row r="102" spans="1:13" ht="15" customHeight="1" x14ac:dyDescent="0.3">
      <c r="A102" s="5">
        <v>999</v>
      </c>
      <c r="B102" s="5">
        <v>-1</v>
      </c>
      <c r="C102" s="27">
        <f t="shared" si="11"/>
        <v>-5.0000000000000001E-4</v>
      </c>
      <c r="D102" s="27">
        <f t="shared" si="12"/>
        <v>-1E-3</v>
      </c>
      <c r="E102" s="27">
        <f t="shared" si="13"/>
        <v>-2E-3</v>
      </c>
      <c r="F102" s="27">
        <f t="shared" si="14"/>
        <v>-4.0000000000000001E-3</v>
      </c>
      <c r="G102" s="27">
        <f t="shared" si="15"/>
        <v>-5.0000000000000001E-3</v>
      </c>
      <c r="H102" s="27">
        <f t="shared" si="16"/>
        <v>-0.01</v>
      </c>
      <c r="I102" s="27">
        <f t="shared" si="17"/>
        <v>-0.02</v>
      </c>
      <c r="J102" s="27">
        <f t="shared" si="18"/>
        <v>-0.04</v>
      </c>
      <c r="K102" s="27">
        <f t="shared" si="19"/>
        <v>-0.05</v>
      </c>
      <c r="L102" s="27">
        <f t="shared" si="20"/>
        <v>-0.5</v>
      </c>
      <c r="M102" s="34">
        <f t="shared" si="21"/>
        <v>999</v>
      </c>
    </row>
    <row r="103" spans="1:13" ht="15" customHeight="1" x14ac:dyDescent="0.3">
      <c r="A103" s="9">
        <v>1000</v>
      </c>
      <c r="B103" s="9">
        <v>0</v>
      </c>
      <c r="C103" s="15">
        <f t="shared" si="11"/>
        <v>0</v>
      </c>
      <c r="D103" s="15">
        <f t="shared" si="12"/>
        <v>0</v>
      </c>
      <c r="E103" s="15">
        <f t="shared" si="13"/>
        <v>0</v>
      </c>
      <c r="F103" s="15">
        <f t="shared" si="14"/>
        <v>0</v>
      </c>
      <c r="G103" s="15">
        <f t="shared" si="15"/>
        <v>0</v>
      </c>
      <c r="H103" s="15">
        <f t="shared" si="16"/>
        <v>0</v>
      </c>
      <c r="I103" s="15">
        <f t="shared" si="17"/>
        <v>0</v>
      </c>
      <c r="J103" s="15">
        <f t="shared" si="18"/>
        <v>0</v>
      </c>
      <c r="K103" s="15">
        <f t="shared" si="19"/>
        <v>0</v>
      </c>
      <c r="L103" s="15">
        <f t="shared" si="20"/>
        <v>0</v>
      </c>
      <c r="M103" s="34">
        <f t="shared" si="21"/>
        <v>1000</v>
      </c>
    </row>
    <row r="104" spans="1:13" ht="15" customHeight="1" x14ac:dyDescent="0.3">
      <c r="A104" s="5">
        <v>1001</v>
      </c>
      <c r="B104" s="5">
        <v>1</v>
      </c>
      <c r="C104" s="27">
        <f t="shared" si="11"/>
        <v>5.0000000000000001E-4</v>
      </c>
      <c r="D104" s="27">
        <f t="shared" si="12"/>
        <v>1E-3</v>
      </c>
      <c r="E104" s="27">
        <f t="shared" si="13"/>
        <v>2E-3</v>
      </c>
      <c r="F104" s="27">
        <f t="shared" si="14"/>
        <v>4.0000000000000001E-3</v>
      </c>
      <c r="G104" s="27">
        <f t="shared" si="15"/>
        <v>5.0000000000000001E-3</v>
      </c>
      <c r="H104" s="27">
        <f t="shared" si="16"/>
        <v>0.01</v>
      </c>
      <c r="I104" s="27">
        <f t="shared" si="17"/>
        <v>0.02</v>
      </c>
      <c r="J104" s="27">
        <f t="shared" si="18"/>
        <v>0.04</v>
      </c>
      <c r="K104" s="27">
        <f t="shared" si="19"/>
        <v>0.05</v>
      </c>
      <c r="L104" s="27">
        <f t="shared" si="20"/>
        <v>0.5</v>
      </c>
      <c r="M104" s="34">
        <f t="shared" si="21"/>
        <v>1001</v>
      </c>
    </row>
    <row r="105" spans="1:13" ht="15" customHeight="1" x14ac:dyDescent="0.3">
      <c r="A105" s="5">
        <v>1002</v>
      </c>
      <c r="B105" s="5">
        <v>2</v>
      </c>
      <c r="C105" s="27">
        <f t="shared" si="11"/>
        <v>1E-3</v>
      </c>
      <c r="D105" s="27">
        <f t="shared" si="12"/>
        <v>2E-3</v>
      </c>
      <c r="E105" s="27">
        <f t="shared" si="13"/>
        <v>4.0000000000000001E-3</v>
      </c>
      <c r="F105" s="27">
        <f t="shared" si="14"/>
        <v>8.0000000000000002E-3</v>
      </c>
      <c r="G105" s="27">
        <f t="shared" si="15"/>
        <v>0.01</v>
      </c>
      <c r="H105" s="27">
        <f t="shared" si="16"/>
        <v>0.02</v>
      </c>
      <c r="I105" s="27">
        <f t="shared" si="17"/>
        <v>0.04</v>
      </c>
      <c r="J105" s="27">
        <f t="shared" si="18"/>
        <v>0.08</v>
      </c>
      <c r="K105" s="27">
        <f t="shared" si="19"/>
        <v>0.1</v>
      </c>
      <c r="L105" s="27">
        <f t="shared" si="20"/>
        <v>1</v>
      </c>
      <c r="M105" s="34">
        <f t="shared" si="21"/>
        <v>1002</v>
      </c>
    </row>
    <row r="106" spans="1:13" ht="15" customHeight="1" x14ac:dyDescent="0.3">
      <c r="A106" s="5">
        <v>1003</v>
      </c>
      <c r="B106" s="5">
        <v>3</v>
      </c>
      <c r="C106" s="27">
        <f t="shared" si="11"/>
        <v>1.5E-3</v>
      </c>
      <c r="D106" s="27">
        <f t="shared" si="12"/>
        <v>3.0000000000000001E-3</v>
      </c>
      <c r="E106" s="27">
        <f t="shared" si="13"/>
        <v>6.0000000000000001E-3</v>
      </c>
      <c r="F106" s="27">
        <f t="shared" si="14"/>
        <v>1.2E-2</v>
      </c>
      <c r="G106" s="27">
        <f t="shared" si="15"/>
        <v>1.4999999999999999E-2</v>
      </c>
      <c r="H106" s="27">
        <f t="shared" si="16"/>
        <v>0.03</v>
      </c>
      <c r="I106" s="27">
        <f t="shared" si="17"/>
        <v>0.06</v>
      </c>
      <c r="J106" s="27">
        <f t="shared" si="18"/>
        <v>0.12</v>
      </c>
      <c r="K106" s="27">
        <f t="shared" si="19"/>
        <v>0.15</v>
      </c>
      <c r="L106" s="27">
        <f t="shared" si="20"/>
        <v>1.5</v>
      </c>
      <c r="M106" s="34">
        <f t="shared" si="21"/>
        <v>1003</v>
      </c>
    </row>
    <row r="107" spans="1:13" ht="15" customHeight="1" x14ac:dyDescent="0.3">
      <c r="A107" s="5">
        <v>1004</v>
      </c>
      <c r="B107" s="5">
        <v>4</v>
      </c>
      <c r="C107" s="27">
        <f t="shared" si="11"/>
        <v>2E-3</v>
      </c>
      <c r="D107" s="27">
        <f t="shared" si="12"/>
        <v>4.0000000000000001E-3</v>
      </c>
      <c r="E107" s="27">
        <f t="shared" si="13"/>
        <v>8.0000000000000002E-3</v>
      </c>
      <c r="F107" s="27">
        <f t="shared" si="14"/>
        <v>1.6E-2</v>
      </c>
      <c r="G107" s="27">
        <f t="shared" si="15"/>
        <v>0.02</v>
      </c>
      <c r="H107" s="27">
        <f t="shared" si="16"/>
        <v>0.04</v>
      </c>
      <c r="I107" s="27">
        <f t="shared" si="17"/>
        <v>0.08</v>
      </c>
      <c r="J107" s="27">
        <f t="shared" si="18"/>
        <v>0.16</v>
      </c>
      <c r="K107" s="27">
        <f t="shared" si="19"/>
        <v>0.2</v>
      </c>
      <c r="L107" s="27">
        <f t="shared" si="20"/>
        <v>2</v>
      </c>
      <c r="M107" s="34">
        <f t="shared" si="21"/>
        <v>1004</v>
      </c>
    </row>
    <row r="108" spans="1:13" ht="15" customHeight="1" x14ac:dyDescent="0.3">
      <c r="A108" s="5">
        <v>1005</v>
      </c>
      <c r="B108" s="5">
        <v>5</v>
      </c>
      <c r="C108" s="27">
        <f t="shared" si="11"/>
        <v>2.5000000000000001E-3</v>
      </c>
      <c r="D108" s="27">
        <f t="shared" si="12"/>
        <v>5.0000000000000001E-3</v>
      </c>
      <c r="E108" s="27">
        <f t="shared" si="13"/>
        <v>0.01</v>
      </c>
      <c r="F108" s="27">
        <f t="shared" si="14"/>
        <v>0.02</v>
      </c>
      <c r="G108" s="27">
        <f t="shared" si="15"/>
        <v>2.5000000000000001E-2</v>
      </c>
      <c r="H108" s="27">
        <f t="shared" si="16"/>
        <v>0.05</v>
      </c>
      <c r="I108" s="27">
        <f t="shared" si="17"/>
        <v>0.1</v>
      </c>
      <c r="J108" s="27">
        <f t="shared" si="18"/>
        <v>0.2</v>
      </c>
      <c r="K108" s="27">
        <f t="shared" si="19"/>
        <v>0.25</v>
      </c>
      <c r="L108" s="27">
        <f t="shared" si="20"/>
        <v>2.5</v>
      </c>
      <c r="M108" s="34">
        <f t="shared" si="21"/>
        <v>1005</v>
      </c>
    </row>
    <row r="109" spans="1:13" ht="15" customHeight="1" x14ac:dyDescent="0.3">
      <c r="A109" s="5">
        <v>1006</v>
      </c>
      <c r="B109" s="5">
        <v>6</v>
      </c>
      <c r="C109" s="27">
        <f t="shared" si="11"/>
        <v>3.0000000000000001E-3</v>
      </c>
      <c r="D109" s="27">
        <f t="shared" si="12"/>
        <v>6.0000000000000001E-3</v>
      </c>
      <c r="E109" s="27">
        <f t="shared" si="13"/>
        <v>1.2E-2</v>
      </c>
      <c r="F109" s="27">
        <f t="shared" si="14"/>
        <v>2.4E-2</v>
      </c>
      <c r="G109" s="27">
        <f t="shared" si="15"/>
        <v>0.03</v>
      </c>
      <c r="H109" s="27">
        <f t="shared" si="16"/>
        <v>0.06</v>
      </c>
      <c r="I109" s="27">
        <f t="shared" si="17"/>
        <v>0.12</v>
      </c>
      <c r="J109" s="27">
        <f t="shared" si="18"/>
        <v>0.24</v>
      </c>
      <c r="K109" s="27">
        <f t="shared" si="19"/>
        <v>0.3</v>
      </c>
      <c r="L109" s="27">
        <f t="shared" si="20"/>
        <v>3</v>
      </c>
      <c r="M109" s="34">
        <f t="shared" si="21"/>
        <v>1006</v>
      </c>
    </row>
    <row r="110" spans="1:13" ht="15" customHeight="1" x14ac:dyDescent="0.3">
      <c r="A110" s="5">
        <v>1007</v>
      </c>
      <c r="B110" s="5">
        <v>7</v>
      </c>
      <c r="C110" s="27">
        <f t="shared" si="11"/>
        <v>3.5000000000000001E-3</v>
      </c>
      <c r="D110" s="27">
        <f t="shared" si="12"/>
        <v>7.0000000000000001E-3</v>
      </c>
      <c r="E110" s="27">
        <f t="shared" si="13"/>
        <v>1.4E-2</v>
      </c>
      <c r="F110" s="27">
        <f t="shared" si="14"/>
        <v>2.8000000000000001E-2</v>
      </c>
      <c r="G110" s="27">
        <f t="shared" si="15"/>
        <v>3.5000000000000003E-2</v>
      </c>
      <c r="H110" s="27">
        <f t="shared" si="16"/>
        <v>7.0000000000000007E-2</v>
      </c>
      <c r="I110" s="27">
        <f t="shared" si="17"/>
        <v>0.14000000000000001</v>
      </c>
      <c r="J110" s="27">
        <f t="shared" si="18"/>
        <v>0.28000000000000003</v>
      </c>
      <c r="K110" s="27">
        <f t="shared" si="19"/>
        <v>0.35000000000000003</v>
      </c>
      <c r="L110" s="27">
        <f t="shared" si="20"/>
        <v>3.5</v>
      </c>
      <c r="M110" s="34">
        <f t="shared" si="21"/>
        <v>1007</v>
      </c>
    </row>
    <row r="111" spans="1:13" ht="15" customHeight="1" x14ac:dyDescent="0.3">
      <c r="A111" s="5">
        <v>1008</v>
      </c>
      <c r="B111" s="5">
        <v>8</v>
      </c>
      <c r="C111" s="27">
        <f t="shared" si="11"/>
        <v>4.0000000000000001E-3</v>
      </c>
      <c r="D111" s="27">
        <f t="shared" si="12"/>
        <v>8.0000000000000002E-3</v>
      </c>
      <c r="E111" s="27">
        <f t="shared" si="13"/>
        <v>1.6E-2</v>
      </c>
      <c r="F111" s="27">
        <f t="shared" si="14"/>
        <v>3.2000000000000001E-2</v>
      </c>
      <c r="G111" s="27">
        <f t="shared" si="15"/>
        <v>0.04</v>
      </c>
      <c r="H111" s="27">
        <f t="shared" si="16"/>
        <v>0.08</v>
      </c>
      <c r="I111" s="27">
        <f t="shared" si="17"/>
        <v>0.16</v>
      </c>
      <c r="J111" s="27">
        <f t="shared" si="18"/>
        <v>0.32</v>
      </c>
      <c r="K111" s="27">
        <f t="shared" si="19"/>
        <v>0.4</v>
      </c>
      <c r="L111" s="27">
        <f t="shared" si="20"/>
        <v>4</v>
      </c>
      <c r="M111" s="34">
        <f t="shared" si="21"/>
        <v>1008</v>
      </c>
    </row>
    <row r="112" spans="1:13" ht="15" customHeight="1" x14ac:dyDescent="0.3">
      <c r="A112" s="5">
        <v>1009</v>
      </c>
      <c r="B112" s="5">
        <v>9</v>
      </c>
      <c r="C112" s="27">
        <f t="shared" si="11"/>
        <v>4.4999999999999997E-3</v>
      </c>
      <c r="D112" s="27">
        <f t="shared" si="12"/>
        <v>8.9999999999999993E-3</v>
      </c>
      <c r="E112" s="27">
        <f t="shared" si="13"/>
        <v>1.7999999999999999E-2</v>
      </c>
      <c r="F112" s="27">
        <f t="shared" si="14"/>
        <v>3.5999999999999997E-2</v>
      </c>
      <c r="G112" s="27">
        <f t="shared" si="15"/>
        <v>4.4999999999999998E-2</v>
      </c>
      <c r="H112" s="27">
        <f t="shared" si="16"/>
        <v>0.09</v>
      </c>
      <c r="I112" s="27">
        <f t="shared" si="17"/>
        <v>0.18</v>
      </c>
      <c r="J112" s="27">
        <f t="shared" si="18"/>
        <v>0.36</v>
      </c>
      <c r="K112" s="27">
        <f t="shared" si="19"/>
        <v>0.44999999999999996</v>
      </c>
      <c r="L112" s="27">
        <f t="shared" si="20"/>
        <v>4.5</v>
      </c>
      <c r="M112" s="34">
        <f t="shared" si="21"/>
        <v>1009</v>
      </c>
    </row>
    <row r="113" spans="1:13" ht="15" customHeight="1" x14ac:dyDescent="0.3">
      <c r="A113" s="9">
        <v>1010</v>
      </c>
      <c r="B113" s="5">
        <v>10</v>
      </c>
      <c r="C113" s="15">
        <f t="shared" si="11"/>
        <v>5.0000000000000001E-3</v>
      </c>
      <c r="D113" s="15">
        <f t="shared" si="12"/>
        <v>0.01</v>
      </c>
      <c r="E113" s="15">
        <f t="shared" si="13"/>
        <v>0.02</v>
      </c>
      <c r="F113" s="15">
        <f t="shared" si="14"/>
        <v>0.04</v>
      </c>
      <c r="G113" s="15">
        <f t="shared" si="15"/>
        <v>0.05</v>
      </c>
      <c r="H113" s="15">
        <f t="shared" si="16"/>
        <v>0.1</v>
      </c>
      <c r="I113" s="15">
        <f t="shared" si="17"/>
        <v>0.2</v>
      </c>
      <c r="J113" s="15">
        <f t="shared" si="18"/>
        <v>0.4</v>
      </c>
      <c r="K113" s="15">
        <f t="shared" si="19"/>
        <v>0.5</v>
      </c>
      <c r="L113" s="15">
        <f t="shared" si="20"/>
        <v>5</v>
      </c>
      <c r="M113" s="34">
        <f t="shared" si="21"/>
        <v>1010</v>
      </c>
    </row>
    <row r="114" spans="1:13" ht="15" customHeight="1" x14ac:dyDescent="0.3">
      <c r="A114" s="5">
        <v>1011</v>
      </c>
      <c r="B114" s="5">
        <v>11</v>
      </c>
      <c r="C114" s="27">
        <f t="shared" si="11"/>
        <v>5.4999999999999997E-3</v>
      </c>
      <c r="D114" s="27">
        <f t="shared" si="12"/>
        <v>1.0999999999999999E-2</v>
      </c>
      <c r="E114" s="27">
        <f t="shared" si="13"/>
        <v>2.1999999999999999E-2</v>
      </c>
      <c r="F114" s="27">
        <f t="shared" si="14"/>
        <v>4.3999999999999997E-2</v>
      </c>
      <c r="G114" s="27">
        <f t="shared" si="15"/>
        <v>5.4999999999999993E-2</v>
      </c>
      <c r="H114" s="27">
        <f t="shared" si="16"/>
        <v>0.10999999999999999</v>
      </c>
      <c r="I114" s="27">
        <f t="shared" si="17"/>
        <v>0.21999999999999997</v>
      </c>
      <c r="J114" s="27">
        <f t="shared" si="18"/>
        <v>0.43999999999999995</v>
      </c>
      <c r="K114" s="27">
        <f t="shared" si="19"/>
        <v>0.54999999999999993</v>
      </c>
      <c r="L114" s="27">
        <f t="shared" si="20"/>
        <v>5.5</v>
      </c>
      <c r="M114" s="34">
        <f t="shared" si="21"/>
        <v>1011</v>
      </c>
    </row>
    <row r="115" spans="1:13" ht="15" customHeight="1" x14ac:dyDescent="0.3">
      <c r="A115" s="5">
        <v>1012</v>
      </c>
      <c r="B115" s="5">
        <v>12</v>
      </c>
      <c r="C115" s="27">
        <f t="shared" si="11"/>
        <v>6.0000000000000001E-3</v>
      </c>
      <c r="D115" s="27">
        <f t="shared" si="12"/>
        <v>1.2E-2</v>
      </c>
      <c r="E115" s="27">
        <f t="shared" si="13"/>
        <v>2.4E-2</v>
      </c>
      <c r="F115" s="27">
        <f t="shared" si="14"/>
        <v>4.8000000000000001E-2</v>
      </c>
      <c r="G115" s="27">
        <f t="shared" si="15"/>
        <v>0.06</v>
      </c>
      <c r="H115" s="27">
        <f t="shared" si="16"/>
        <v>0.12</v>
      </c>
      <c r="I115" s="27">
        <f t="shared" si="17"/>
        <v>0.24</v>
      </c>
      <c r="J115" s="27">
        <f t="shared" si="18"/>
        <v>0.48</v>
      </c>
      <c r="K115" s="27">
        <f t="shared" si="19"/>
        <v>0.6</v>
      </c>
      <c r="L115" s="27">
        <f t="shared" si="20"/>
        <v>6</v>
      </c>
      <c r="M115" s="34">
        <f t="shared" si="21"/>
        <v>1012</v>
      </c>
    </row>
    <row r="116" spans="1:13" ht="15" customHeight="1" x14ac:dyDescent="0.3">
      <c r="A116" s="5">
        <v>1013</v>
      </c>
      <c r="B116" s="5">
        <v>13</v>
      </c>
      <c r="C116" s="27">
        <f t="shared" si="11"/>
        <v>6.4999999999999997E-3</v>
      </c>
      <c r="D116" s="27">
        <f t="shared" si="12"/>
        <v>1.2999999999999999E-2</v>
      </c>
      <c r="E116" s="27">
        <f t="shared" si="13"/>
        <v>2.5999999999999999E-2</v>
      </c>
      <c r="F116" s="27">
        <f t="shared" si="14"/>
        <v>5.1999999999999998E-2</v>
      </c>
      <c r="G116" s="27">
        <f t="shared" si="15"/>
        <v>6.5000000000000002E-2</v>
      </c>
      <c r="H116" s="27">
        <f t="shared" si="16"/>
        <v>0.13</v>
      </c>
      <c r="I116" s="27">
        <f t="shared" si="17"/>
        <v>0.26</v>
      </c>
      <c r="J116" s="27">
        <f t="shared" si="18"/>
        <v>0.52</v>
      </c>
      <c r="K116" s="27">
        <f t="shared" si="19"/>
        <v>0.65</v>
      </c>
      <c r="L116" s="27">
        <f t="shared" si="20"/>
        <v>6.5</v>
      </c>
      <c r="M116" s="34">
        <f t="shared" si="21"/>
        <v>1013</v>
      </c>
    </row>
    <row r="117" spans="1:13" ht="15" customHeight="1" x14ac:dyDescent="0.3">
      <c r="A117" s="5">
        <v>1014</v>
      </c>
      <c r="B117" s="5">
        <v>14</v>
      </c>
      <c r="C117" s="27">
        <f t="shared" si="11"/>
        <v>7.0000000000000001E-3</v>
      </c>
      <c r="D117" s="27">
        <f t="shared" si="12"/>
        <v>1.4E-2</v>
      </c>
      <c r="E117" s="27">
        <f t="shared" si="13"/>
        <v>2.8000000000000001E-2</v>
      </c>
      <c r="F117" s="27">
        <f t="shared" si="14"/>
        <v>5.6000000000000001E-2</v>
      </c>
      <c r="G117" s="27">
        <f t="shared" si="15"/>
        <v>7.0000000000000007E-2</v>
      </c>
      <c r="H117" s="27">
        <f t="shared" si="16"/>
        <v>0.14000000000000001</v>
      </c>
      <c r="I117" s="27">
        <f t="shared" si="17"/>
        <v>0.28000000000000003</v>
      </c>
      <c r="J117" s="27">
        <f t="shared" si="18"/>
        <v>0.56000000000000005</v>
      </c>
      <c r="K117" s="27">
        <f t="shared" si="19"/>
        <v>0.70000000000000007</v>
      </c>
      <c r="L117" s="27">
        <f t="shared" si="20"/>
        <v>7</v>
      </c>
      <c r="M117" s="34">
        <f t="shared" si="21"/>
        <v>1014</v>
      </c>
    </row>
    <row r="118" spans="1:13" ht="15" customHeight="1" x14ac:dyDescent="0.3">
      <c r="A118" s="5">
        <v>1015</v>
      </c>
      <c r="B118" s="5">
        <v>15</v>
      </c>
      <c r="C118" s="27">
        <f t="shared" si="11"/>
        <v>7.4999999999999997E-3</v>
      </c>
      <c r="D118" s="27">
        <f t="shared" si="12"/>
        <v>1.4999999999999999E-2</v>
      </c>
      <c r="E118" s="27">
        <f t="shared" si="13"/>
        <v>0.03</v>
      </c>
      <c r="F118" s="27">
        <f t="shared" si="14"/>
        <v>0.06</v>
      </c>
      <c r="G118" s="27">
        <f t="shared" si="15"/>
        <v>7.4999999999999997E-2</v>
      </c>
      <c r="H118" s="27">
        <f t="shared" si="16"/>
        <v>0.15</v>
      </c>
      <c r="I118" s="27">
        <f t="shared" si="17"/>
        <v>0.3</v>
      </c>
      <c r="J118" s="27">
        <f t="shared" si="18"/>
        <v>0.6</v>
      </c>
      <c r="K118" s="27">
        <f t="shared" si="19"/>
        <v>0.75</v>
      </c>
      <c r="L118" s="27">
        <f t="shared" si="20"/>
        <v>7.5</v>
      </c>
      <c r="M118" s="34">
        <f t="shared" si="21"/>
        <v>1015</v>
      </c>
    </row>
    <row r="119" spans="1:13" ht="15" customHeight="1" x14ac:dyDescent="0.3">
      <c r="A119" s="5">
        <v>1016</v>
      </c>
      <c r="B119" s="5">
        <v>16</v>
      </c>
      <c r="C119" s="27">
        <f t="shared" si="11"/>
        <v>8.0000000000000002E-3</v>
      </c>
      <c r="D119" s="27">
        <f t="shared" si="12"/>
        <v>1.6E-2</v>
      </c>
      <c r="E119" s="27">
        <f t="shared" si="13"/>
        <v>3.2000000000000001E-2</v>
      </c>
      <c r="F119" s="27">
        <f t="shared" si="14"/>
        <v>6.4000000000000001E-2</v>
      </c>
      <c r="G119" s="27">
        <f t="shared" si="15"/>
        <v>0.08</v>
      </c>
      <c r="H119" s="27">
        <f t="shared" si="16"/>
        <v>0.16</v>
      </c>
      <c r="I119" s="27">
        <f t="shared" si="17"/>
        <v>0.32</v>
      </c>
      <c r="J119" s="27">
        <f t="shared" si="18"/>
        <v>0.64</v>
      </c>
      <c r="K119" s="27">
        <f t="shared" si="19"/>
        <v>0.8</v>
      </c>
      <c r="L119" s="27">
        <f t="shared" si="20"/>
        <v>8</v>
      </c>
      <c r="M119" s="34">
        <f t="shared" si="21"/>
        <v>1016</v>
      </c>
    </row>
    <row r="120" spans="1:13" ht="15" customHeight="1" x14ac:dyDescent="0.3">
      <c r="A120" s="5">
        <v>1017</v>
      </c>
      <c r="B120" s="5">
        <v>17</v>
      </c>
      <c r="C120" s="27">
        <f t="shared" si="11"/>
        <v>8.5000000000000006E-3</v>
      </c>
      <c r="D120" s="27">
        <f t="shared" si="12"/>
        <v>1.7000000000000001E-2</v>
      </c>
      <c r="E120" s="27">
        <f t="shared" si="13"/>
        <v>3.4000000000000002E-2</v>
      </c>
      <c r="F120" s="27">
        <f t="shared" si="14"/>
        <v>6.8000000000000005E-2</v>
      </c>
      <c r="G120" s="27">
        <f t="shared" si="15"/>
        <v>8.5000000000000006E-2</v>
      </c>
      <c r="H120" s="27">
        <f t="shared" si="16"/>
        <v>0.17</v>
      </c>
      <c r="I120" s="27">
        <f t="shared" si="17"/>
        <v>0.34</v>
      </c>
      <c r="J120" s="27">
        <f t="shared" si="18"/>
        <v>0.68</v>
      </c>
      <c r="K120" s="27">
        <f t="shared" si="19"/>
        <v>0.85000000000000009</v>
      </c>
      <c r="L120" s="27">
        <f t="shared" si="20"/>
        <v>8.5</v>
      </c>
      <c r="M120" s="34">
        <f t="shared" si="21"/>
        <v>1017</v>
      </c>
    </row>
    <row r="121" spans="1:13" ht="15" customHeight="1" x14ac:dyDescent="0.3">
      <c r="A121" s="5">
        <v>1018</v>
      </c>
      <c r="B121" s="5">
        <v>18</v>
      </c>
      <c r="C121" s="27">
        <f t="shared" si="11"/>
        <v>8.9999999999999993E-3</v>
      </c>
      <c r="D121" s="27">
        <f t="shared" si="12"/>
        <v>1.7999999999999999E-2</v>
      </c>
      <c r="E121" s="27">
        <f t="shared" si="13"/>
        <v>3.5999999999999997E-2</v>
      </c>
      <c r="F121" s="27">
        <f t="shared" si="14"/>
        <v>7.1999999999999995E-2</v>
      </c>
      <c r="G121" s="27">
        <f t="shared" si="15"/>
        <v>0.09</v>
      </c>
      <c r="H121" s="27">
        <f t="shared" si="16"/>
        <v>0.18</v>
      </c>
      <c r="I121" s="27">
        <f t="shared" si="17"/>
        <v>0.36</v>
      </c>
      <c r="J121" s="27">
        <f t="shared" si="18"/>
        <v>0.72</v>
      </c>
      <c r="K121" s="27">
        <f t="shared" si="19"/>
        <v>0.89999999999999991</v>
      </c>
      <c r="L121" s="27">
        <f t="shared" si="20"/>
        <v>9</v>
      </c>
      <c r="M121" s="34">
        <f t="shared" si="21"/>
        <v>1018</v>
      </c>
    </row>
    <row r="122" spans="1:13" ht="15" customHeight="1" x14ac:dyDescent="0.3">
      <c r="A122" s="5">
        <v>1019</v>
      </c>
      <c r="B122" s="5">
        <v>19</v>
      </c>
      <c r="C122" s="27">
        <f t="shared" si="11"/>
        <v>9.4999999999999998E-3</v>
      </c>
      <c r="D122" s="27">
        <f t="shared" si="12"/>
        <v>1.9E-2</v>
      </c>
      <c r="E122" s="27">
        <f t="shared" si="13"/>
        <v>3.7999999999999999E-2</v>
      </c>
      <c r="F122" s="27">
        <f t="shared" si="14"/>
        <v>7.5999999999999998E-2</v>
      </c>
      <c r="G122" s="27">
        <f t="shared" si="15"/>
        <v>9.5000000000000001E-2</v>
      </c>
      <c r="H122" s="27">
        <f t="shared" si="16"/>
        <v>0.19</v>
      </c>
      <c r="I122" s="27">
        <f t="shared" si="17"/>
        <v>0.38</v>
      </c>
      <c r="J122" s="27">
        <f t="shared" si="18"/>
        <v>0.76</v>
      </c>
      <c r="K122" s="27">
        <f t="shared" si="19"/>
        <v>0.95</v>
      </c>
      <c r="L122" s="27">
        <f t="shared" si="20"/>
        <v>9.5</v>
      </c>
      <c r="M122" s="34">
        <f t="shared" si="21"/>
        <v>1019</v>
      </c>
    </row>
    <row r="123" spans="1:13" ht="15" customHeight="1" x14ac:dyDescent="0.3">
      <c r="A123" s="9">
        <v>1020</v>
      </c>
      <c r="B123" s="5">
        <v>20</v>
      </c>
      <c r="C123" s="15">
        <f t="shared" si="11"/>
        <v>0.01</v>
      </c>
      <c r="D123" s="15">
        <f t="shared" si="12"/>
        <v>0.02</v>
      </c>
      <c r="E123" s="15">
        <f t="shared" si="13"/>
        <v>0.04</v>
      </c>
      <c r="F123" s="15">
        <f t="shared" si="14"/>
        <v>0.08</v>
      </c>
      <c r="G123" s="15">
        <f t="shared" si="15"/>
        <v>0.1</v>
      </c>
      <c r="H123" s="15">
        <f t="shared" si="16"/>
        <v>0.2</v>
      </c>
      <c r="I123" s="15">
        <f t="shared" si="17"/>
        <v>0.4</v>
      </c>
      <c r="J123" s="15">
        <f t="shared" si="18"/>
        <v>0.8</v>
      </c>
      <c r="K123" s="15">
        <f t="shared" si="19"/>
        <v>1</v>
      </c>
      <c r="L123" s="15">
        <f t="shared" si="20"/>
        <v>10</v>
      </c>
      <c r="M123" s="34">
        <f t="shared" si="21"/>
        <v>1020</v>
      </c>
    </row>
    <row r="124" spans="1:13" ht="15" customHeight="1" x14ac:dyDescent="0.3">
      <c r="A124" s="5">
        <v>1021</v>
      </c>
      <c r="B124" s="5">
        <v>21</v>
      </c>
      <c r="C124" s="27">
        <f t="shared" si="11"/>
        <v>1.0500000000000001E-2</v>
      </c>
      <c r="D124" s="27">
        <f t="shared" si="12"/>
        <v>2.1000000000000001E-2</v>
      </c>
      <c r="E124" s="27">
        <f t="shared" si="13"/>
        <v>4.2000000000000003E-2</v>
      </c>
      <c r="F124" s="27">
        <f t="shared" si="14"/>
        <v>8.4000000000000005E-2</v>
      </c>
      <c r="G124" s="27">
        <f t="shared" si="15"/>
        <v>0.10500000000000001</v>
      </c>
      <c r="H124" s="27">
        <f t="shared" si="16"/>
        <v>0.21000000000000002</v>
      </c>
      <c r="I124" s="27">
        <f t="shared" si="17"/>
        <v>0.42000000000000004</v>
      </c>
      <c r="J124" s="27">
        <f t="shared" si="18"/>
        <v>0.84000000000000008</v>
      </c>
      <c r="K124" s="27">
        <f t="shared" si="19"/>
        <v>1.05</v>
      </c>
      <c r="L124" s="27">
        <f t="shared" si="20"/>
        <v>10.5</v>
      </c>
      <c r="M124" s="34">
        <f t="shared" si="21"/>
        <v>1021</v>
      </c>
    </row>
    <row r="125" spans="1:13" ht="15" customHeight="1" x14ac:dyDescent="0.3">
      <c r="A125" s="5">
        <v>1022</v>
      </c>
      <c r="B125" s="5">
        <v>22</v>
      </c>
      <c r="C125" s="27">
        <f t="shared" si="11"/>
        <v>1.0999999999999999E-2</v>
      </c>
      <c r="D125" s="27">
        <f t="shared" si="12"/>
        <v>2.1999999999999999E-2</v>
      </c>
      <c r="E125" s="27">
        <f t="shared" si="13"/>
        <v>4.3999999999999997E-2</v>
      </c>
      <c r="F125" s="27">
        <f t="shared" si="14"/>
        <v>8.7999999999999995E-2</v>
      </c>
      <c r="G125" s="27">
        <f t="shared" si="15"/>
        <v>0.10999999999999999</v>
      </c>
      <c r="H125" s="27">
        <f t="shared" si="16"/>
        <v>0.21999999999999997</v>
      </c>
      <c r="I125" s="27">
        <f t="shared" si="17"/>
        <v>0.43999999999999995</v>
      </c>
      <c r="J125" s="27">
        <f t="shared" si="18"/>
        <v>0.87999999999999989</v>
      </c>
      <c r="K125" s="27">
        <f t="shared" si="19"/>
        <v>1.0999999999999999</v>
      </c>
      <c r="L125" s="27">
        <f t="shared" si="20"/>
        <v>11</v>
      </c>
      <c r="M125" s="34">
        <f t="shared" si="21"/>
        <v>1022</v>
      </c>
    </row>
    <row r="126" spans="1:13" ht="15" customHeight="1" x14ac:dyDescent="0.3">
      <c r="A126" s="5">
        <v>1023</v>
      </c>
      <c r="B126" s="5">
        <v>23</v>
      </c>
      <c r="C126" s="27">
        <f t="shared" si="11"/>
        <v>1.15E-2</v>
      </c>
      <c r="D126" s="27">
        <f t="shared" si="12"/>
        <v>2.3E-2</v>
      </c>
      <c r="E126" s="27">
        <f t="shared" si="13"/>
        <v>4.5999999999999999E-2</v>
      </c>
      <c r="F126" s="27">
        <f t="shared" si="14"/>
        <v>9.1999999999999998E-2</v>
      </c>
      <c r="G126" s="27">
        <f t="shared" si="15"/>
        <v>0.11499999999999999</v>
      </c>
      <c r="H126" s="27">
        <f t="shared" si="16"/>
        <v>0.22999999999999998</v>
      </c>
      <c r="I126" s="27">
        <f t="shared" si="17"/>
        <v>0.45999999999999996</v>
      </c>
      <c r="J126" s="27">
        <f t="shared" si="18"/>
        <v>0.91999999999999993</v>
      </c>
      <c r="K126" s="27">
        <f t="shared" si="19"/>
        <v>1.1499999999999999</v>
      </c>
      <c r="L126" s="27">
        <f t="shared" si="20"/>
        <v>11.5</v>
      </c>
      <c r="M126" s="34">
        <f t="shared" si="21"/>
        <v>1023</v>
      </c>
    </row>
    <row r="127" spans="1:13" ht="15" customHeight="1" x14ac:dyDescent="0.3">
      <c r="A127" s="5">
        <v>1024</v>
      </c>
      <c r="B127" s="5">
        <v>24</v>
      </c>
      <c r="C127" s="27">
        <f t="shared" si="11"/>
        <v>1.2E-2</v>
      </c>
      <c r="D127" s="27">
        <f t="shared" si="12"/>
        <v>2.4E-2</v>
      </c>
      <c r="E127" s="27">
        <f t="shared" si="13"/>
        <v>4.8000000000000001E-2</v>
      </c>
      <c r="F127" s="27">
        <f t="shared" si="14"/>
        <v>9.6000000000000002E-2</v>
      </c>
      <c r="G127" s="27">
        <f t="shared" si="15"/>
        <v>0.12</v>
      </c>
      <c r="H127" s="27">
        <f t="shared" si="16"/>
        <v>0.24</v>
      </c>
      <c r="I127" s="27">
        <f t="shared" si="17"/>
        <v>0.48</v>
      </c>
      <c r="J127" s="27">
        <f t="shared" si="18"/>
        <v>0.96</v>
      </c>
      <c r="K127" s="27">
        <f t="shared" si="19"/>
        <v>1.2</v>
      </c>
      <c r="L127" s="27">
        <f t="shared" si="20"/>
        <v>12</v>
      </c>
      <c r="M127" s="34">
        <f t="shared" si="21"/>
        <v>1024</v>
      </c>
    </row>
    <row r="128" spans="1:13" ht="15" customHeight="1" x14ac:dyDescent="0.3">
      <c r="A128" s="5">
        <v>1025</v>
      </c>
      <c r="B128" s="5">
        <v>25</v>
      </c>
      <c r="C128" s="27">
        <f t="shared" si="11"/>
        <v>1.2500000000000001E-2</v>
      </c>
      <c r="D128" s="27">
        <f t="shared" si="12"/>
        <v>2.5000000000000001E-2</v>
      </c>
      <c r="E128" s="27">
        <f t="shared" si="13"/>
        <v>0.05</v>
      </c>
      <c r="F128" s="27">
        <f t="shared" si="14"/>
        <v>0.1</v>
      </c>
      <c r="G128" s="27">
        <f t="shared" si="15"/>
        <v>0.125</v>
      </c>
      <c r="H128" s="27">
        <f t="shared" si="16"/>
        <v>0.25</v>
      </c>
      <c r="I128" s="27">
        <f t="shared" si="17"/>
        <v>0.5</v>
      </c>
      <c r="J128" s="27">
        <f t="shared" si="18"/>
        <v>1</v>
      </c>
      <c r="K128" s="27">
        <f t="shared" si="19"/>
        <v>1.25</v>
      </c>
      <c r="L128" s="27">
        <f t="shared" si="20"/>
        <v>12.5</v>
      </c>
      <c r="M128" s="34">
        <f t="shared" si="21"/>
        <v>1025</v>
      </c>
    </row>
    <row r="129" spans="1:13" ht="15" customHeight="1" x14ac:dyDescent="0.3">
      <c r="A129" s="5">
        <v>1026</v>
      </c>
      <c r="B129" s="5">
        <v>26</v>
      </c>
      <c r="C129" s="27">
        <f t="shared" si="11"/>
        <v>1.2999999999999999E-2</v>
      </c>
      <c r="D129" s="27">
        <f t="shared" si="12"/>
        <v>2.5999999999999999E-2</v>
      </c>
      <c r="E129" s="27">
        <f t="shared" si="13"/>
        <v>5.1999999999999998E-2</v>
      </c>
      <c r="F129" s="27">
        <f t="shared" si="14"/>
        <v>0.104</v>
      </c>
      <c r="G129" s="27">
        <f t="shared" si="15"/>
        <v>0.13</v>
      </c>
      <c r="H129" s="27">
        <f t="shared" si="16"/>
        <v>0.26</v>
      </c>
      <c r="I129" s="27">
        <f t="shared" si="17"/>
        <v>0.52</v>
      </c>
      <c r="J129" s="27">
        <f t="shared" si="18"/>
        <v>1.04</v>
      </c>
      <c r="K129" s="27">
        <f t="shared" si="19"/>
        <v>1.3</v>
      </c>
      <c r="L129" s="27">
        <f t="shared" si="20"/>
        <v>13</v>
      </c>
      <c r="M129" s="34">
        <f t="shared" si="21"/>
        <v>1026</v>
      </c>
    </row>
    <row r="130" spans="1:13" ht="15" customHeight="1" x14ac:dyDescent="0.3">
      <c r="A130" s="5">
        <v>1027</v>
      </c>
      <c r="B130" s="5">
        <v>27</v>
      </c>
      <c r="C130" s="27">
        <f t="shared" si="11"/>
        <v>1.35E-2</v>
      </c>
      <c r="D130" s="27">
        <f t="shared" si="12"/>
        <v>2.7E-2</v>
      </c>
      <c r="E130" s="27">
        <f t="shared" si="13"/>
        <v>5.3999999999999999E-2</v>
      </c>
      <c r="F130" s="27">
        <f t="shared" si="14"/>
        <v>0.108</v>
      </c>
      <c r="G130" s="27">
        <f t="shared" si="15"/>
        <v>0.13500000000000001</v>
      </c>
      <c r="H130" s="27">
        <f t="shared" si="16"/>
        <v>0.27</v>
      </c>
      <c r="I130" s="27">
        <f t="shared" si="17"/>
        <v>0.54</v>
      </c>
      <c r="J130" s="27">
        <f t="shared" si="18"/>
        <v>1.08</v>
      </c>
      <c r="K130" s="27">
        <f t="shared" si="19"/>
        <v>1.35</v>
      </c>
      <c r="L130" s="27">
        <f t="shared" si="20"/>
        <v>13.5</v>
      </c>
      <c r="M130" s="34">
        <f t="shared" si="21"/>
        <v>1027</v>
      </c>
    </row>
    <row r="131" spans="1:13" ht="15" customHeight="1" x14ac:dyDescent="0.3">
      <c r="A131" s="5">
        <v>1028</v>
      </c>
      <c r="B131" s="5">
        <v>28</v>
      </c>
      <c r="C131" s="27">
        <f t="shared" si="11"/>
        <v>1.4E-2</v>
      </c>
      <c r="D131" s="27">
        <f t="shared" si="12"/>
        <v>2.8000000000000001E-2</v>
      </c>
      <c r="E131" s="27">
        <f t="shared" si="13"/>
        <v>5.6000000000000001E-2</v>
      </c>
      <c r="F131" s="27">
        <f t="shared" si="14"/>
        <v>0.112</v>
      </c>
      <c r="G131" s="27">
        <f t="shared" si="15"/>
        <v>0.14000000000000001</v>
      </c>
      <c r="H131" s="27">
        <f t="shared" si="16"/>
        <v>0.28000000000000003</v>
      </c>
      <c r="I131" s="27">
        <f t="shared" si="17"/>
        <v>0.56000000000000005</v>
      </c>
      <c r="J131" s="27">
        <f t="shared" si="18"/>
        <v>1.1200000000000001</v>
      </c>
      <c r="K131" s="27">
        <f t="shared" si="19"/>
        <v>1.4000000000000001</v>
      </c>
      <c r="L131" s="27">
        <f t="shared" si="20"/>
        <v>14</v>
      </c>
      <c r="M131" s="34">
        <f t="shared" si="21"/>
        <v>1028</v>
      </c>
    </row>
    <row r="132" spans="1:13" ht="15" customHeight="1" x14ac:dyDescent="0.3">
      <c r="A132" s="5">
        <v>1029</v>
      </c>
      <c r="B132" s="5">
        <v>29</v>
      </c>
      <c r="C132" s="27">
        <f t="shared" ref="C132:C195" si="22">(1/2)*(B132/1000)*1</f>
        <v>1.4500000000000001E-2</v>
      </c>
      <c r="D132" s="27">
        <f t="shared" ref="D132:D195" si="23">C132*2</f>
        <v>2.9000000000000001E-2</v>
      </c>
      <c r="E132" s="27">
        <f t="shared" ref="E132:E195" si="24">C132*4</f>
        <v>5.8000000000000003E-2</v>
      </c>
      <c r="F132" s="27">
        <f t="shared" ref="F132:F195" si="25">C132*8</f>
        <v>0.11600000000000001</v>
      </c>
      <c r="G132" s="27">
        <f t="shared" ref="G132:G195" si="26">C132*10</f>
        <v>0.14500000000000002</v>
      </c>
      <c r="H132" s="27">
        <f t="shared" ref="H132:H195" si="27">C132*20</f>
        <v>0.29000000000000004</v>
      </c>
      <c r="I132" s="27">
        <f t="shared" ref="I132:I195" si="28">C132*40</f>
        <v>0.58000000000000007</v>
      </c>
      <c r="J132" s="27">
        <f t="shared" ref="J132:J195" si="29">C132*80</f>
        <v>1.1600000000000001</v>
      </c>
      <c r="K132" s="27">
        <f t="shared" ref="K132:K195" si="30">C132*100</f>
        <v>1.4500000000000002</v>
      </c>
      <c r="L132" s="27">
        <f t="shared" ref="L132:L195" si="31">C132*1000</f>
        <v>14.5</v>
      </c>
      <c r="M132" s="34">
        <f t="shared" ref="M132:M195" si="32">200*G132+1000</f>
        <v>1029</v>
      </c>
    </row>
    <row r="133" spans="1:13" ht="15" customHeight="1" x14ac:dyDescent="0.3">
      <c r="A133" s="9">
        <v>1030</v>
      </c>
      <c r="B133" s="5">
        <v>30</v>
      </c>
      <c r="C133" s="15">
        <f t="shared" si="22"/>
        <v>1.4999999999999999E-2</v>
      </c>
      <c r="D133" s="15">
        <f t="shared" si="23"/>
        <v>0.03</v>
      </c>
      <c r="E133" s="15">
        <f t="shared" si="24"/>
        <v>0.06</v>
      </c>
      <c r="F133" s="15">
        <f t="shared" si="25"/>
        <v>0.12</v>
      </c>
      <c r="G133" s="15">
        <f t="shared" si="26"/>
        <v>0.15</v>
      </c>
      <c r="H133" s="15">
        <f t="shared" si="27"/>
        <v>0.3</v>
      </c>
      <c r="I133" s="15">
        <f t="shared" si="28"/>
        <v>0.6</v>
      </c>
      <c r="J133" s="15">
        <f t="shared" si="29"/>
        <v>1.2</v>
      </c>
      <c r="K133" s="15">
        <f t="shared" si="30"/>
        <v>1.5</v>
      </c>
      <c r="L133" s="15">
        <f t="shared" si="31"/>
        <v>15</v>
      </c>
      <c r="M133" s="34">
        <f t="shared" si="32"/>
        <v>1030</v>
      </c>
    </row>
    <row r="134" spans="1:13" ht="15" customHeight="1" x14ac:dyDescent="0.3">
      <c r="A134" s="5">
        <v>1031</v>
      </c>
      <c r="B134" s="5">
        <v>31</v>
      </c>
      <c r="C134" s="27">
        <f t="shared" si="22"/>
        <v>1.55E-2</v>
      </c>
      <c r="D134" s="27">
        <f t="shared" si="23"/>
        <v>3.1E-2</v>
      </c>
      <c r="E134" s="27">
        <f t="shared" si="24"/>
        <v>6.2E-2</v>
      </c>
      <c r="F134" s="27">
        <f t="shared" si="25"/>
        <v>0.124</v>
      </c>
      <c r="G134" s="27">
        <f t="shared" si="26"/>
        <v>0.155</v>
      </c>
      <c r="H134" s="27">
        <f t="shared" si="27"/>
        <v>0.31</v>
      </c>
      <c r="I134" s="27">
        <f t="shared" si="28"/>
        <v>0.62</v>
      </c>
      <c r="J134" s="27">
        <f t="shared" si="29"/>
        <v>1.24</v>
      </c>
      <c r="K134" s="27">
        <f t="shared" si="30"/>
        <v>1.55</v>
      </c>
      <c r="L134" s="27">
        <f t="shared" si="31"/>
        <v>15.5</v>
      </c>
      <c r="M134" s="34">
        <f t="shared" si="32"/>
        <v>1031</v>
      </c>
    </row>
    <row r="135" spans="1:13" ht="15" customHeight="1" x14ac:dyDescent="0.3">
      <c r="A135" s="5">
        <v>1032</v>
      </c>
      <c r="B135" s="5">
        <v>32</v>
      </c>
      <c r="C135" s="27">
        <f t="shared" si="22"/>
        <v>1.6E-2</v>
      </c>
      <c r="D135" s="27">
        <f t="shared" si="23"/>
        <v>3.2000000000000001E-2</v>
      </c>
      <c r="E135" s="27">
        <f t="shared" si="24"/>
        <v>6.4000000000000001E-2</v>
      </c>
      <c r="F135" s="27">
        <f t="shared" si="25"/>
        <v>0.128</v>
      </c>
      <c r="G135" s="27">
        <f t="shared" si="26"/>
        <v>0.16</v>
      </c>
      <c r="H135" s="27">
        <f t="shared" si="27"/>
        <v>0.32</v>
      </c>
      <c r="I135" s="27">
        <f t="shared" si="28"/>
        <v>0.64</v>
      </c>
      <c r="J135" s="27">
        <f t="shared" si="29"/>
        <v>1.28</v>
      </c>
      <c r="K135" s="27">
        <f t="shared" si="30"/>
        <v>1.6</v>
      </c>
      <c r="L135" s="27">
        <f t="shared" si="31"/>
        <v>16</v>
      </c>
      <c r="M135" s="34">
        <f t="shared" si="32"/>
        <v>1032</v>
      </c>
    </row>
    <row r="136" spans="1:13" ht="15" customHeight="1" x14ac:dyDescent="0.3">
      <c r="A136" s="5">
        <v>1033</v>
      </c>
      <c r="B136" s="5">
        <v>33</v>
      </c>
      <c r="C136" s="27">
        <f t="shared" si="22"/>
        <v>1.6500000000000001E-2</v>
      </c>
      <c r="D136" s="27">
        <f t="shared" si="23"/>
        <v>3.3000000000000002E-2</v>
      </c>
      <c r="E136" s="27">
        <f t="shared" si="24"/>
        <v>6.6000000000000003E-2</v>
      </c>
      <c r="F136" s="27">
        <f t="shared" si="25"/>
        <v>0.13200000000000001</v>
      </c>
      <c r="G136" s="27">
        <f t="shared" si="26"/>
        <v>0.16500000000000001</v>
      </c>
      <c r="H136" s="27">
        <f t="shared" si="27"/>
        <v>0.33</v>
      </c>
      <c r="I136" s="27">
        <f t="shared" si="28"/>
        <v>0.66</v>
      </c>
      <c r="J136" s="27">
        <f t="shared" si="29"/>
        <v>1.32</v>
      </c>
      <c r="K136" s="27">
        <f t="shared" si="30"/>
        <v>1.6500000000000001</v>
      </c>
      <c r="L136" s="27">
        <f t="shared" si="31"/>
        <v>16.5</v>
      </c>
      <c r="M136" s="34">
        <f t="shared" si="32"/>
        <v>1033</v>
      </c>
    </row>
    <row r="137" spans="1:13" ht="15" customHeight="1" x14ac:dyDescent="0.3">
      <c r="A137" s="5">
        <v>1034</v>
      </c>
      <c r="B137" s="5">
        <v>34</v>
      </c>
      <c r="C137" s="27">
        <f t="shared" si="22"/>
        <v>1.7000000000000001E-2</v>
      </c>
      <c r="D137" s="27">
        <f t="shared" si="23"/>
        <v>3.4000000000000002E-2</v>
      </c>
      <c r="E137" s="27">
        <f t="shared" si="24"/>
        <v>6.8000000000000005E-2</v>
      </c>
      <c r="F137" s="27">
        <f t="shared" si="25"/>
        <v>0.13600000000000001</v>
      </c>
      <c r="G137" s="27">
        <f t="shared" si="26"/>
        <v>0.17</v>
      </c>
      <c r="H137" s="27">
        <f t="shared" si="27"/>
        <v>0.34</v>
      </c>
      <c r="I137" s="27">
        <f t="shared" si="28"/>
        <v>0.68</v>
      </c>
      <c r="J137" s="27">
        <f t="shared" si="29"/>
        <v>1.36</v>
      </c>
      <c r="K137" s="27">
        <f t="shared" si="30"/>
        <v>1.7000000000000002</v>
      </c>
      <c r="L137" s="27">
        <f t="shared" si="31"/>
        <v>17</v>
      </c>
      <c r="M137" s="34">
        <f t="shared" si="32"/>
        <v>1034</v>
      </c>
    </row>
    <row r="138" spans="1:13" ht="15" customHeight="1" x14ac:dyDescent="0.3">
      <c r="A138" s="5">
        <v>1035</v>
      </c>
      <c r="B138" s="5">
        <v>35</v>
      </c>
      <c r="C138" s="27">
        <f t="shared" si="22"/>
        <v>1.7500000000000002E-2</v>
      </c>
      <c r="D138" s="27">
        <f t="shared" si="23"/>
        <v>3.5000000000000003E-2</v>
      </c>
      <c r="E138" s="27">
        <f t="shared" si="24"/>
        <v>7.0000000000000007E-2</v>
      </c>
      <c r="F138" s="27">
        <f t="shared" si="25"/>
        <v>0.14000000000000001</v>
      </c>
      <c r="G138" s="27">
        <f t="shared" si="26"/>
        <v>0.17500000000000002</v>
      </c>
      <c r="H138" s="27">
        <f t="shared" si="27"/>
        <v>0.35000000000000003</v>
      </c>
      <c r="I138" s="27">
        <f t="shared" si="28"/>
        <v>0.70000000000000007</v>
      </c>
      <c r="J138" s="27">
        <f t="shared" si="29"/>
        <v>1.4000000000000001</v>
      </c>
      <c r="K138" s="27">
        <f t="shared" si="30"/>
        <v>1.7500000000000002</v>
      </c>
      <c r="L138" s="27">
        <f t="shared" si="31"/>
        <v>17.5</v>
      </c>
      <c r="M138" s="34">
        <f t="shared" si="32"/>
        <v>1035</v>
      </c>
    </row>
    <row r="139" spans="1:13" ht="15" customHeight="1" x14ac:dyDescent="0.3">
      <c r="A139" s="5">
        <v>1036</v>
      </c>
      <c r="B139" s="5">
        <v>36</v>
      </c>
      <c r="C139" s="27">
        <f t="shared" si="22"/>
        <v>1.7999999999999999E-2</v>
      </c>
      <c r="D139" s="27">
        <f t="shared" si="23"/>
        <v>3.5999999999999997E-2</v>
      </c>
      <c r="E139" s="27">
        <f t="shared" si="24"/>
        <v>7.1999999999999995E-2</v>
      </c>
      <c r="F139" s="27">
        <f t="shared" si="25"/>
        <v>0.14399999999999999</v>
      </c>
      <c r="G139" s="27">
        <f t="shared" si="26"/>
        <v>0.18</v>
      </c>
      <c r="H139" s="27">
        <f t="shared" si="27"/>
        <v>0.36</v>
      </c>
      <c r="I139" s="27">
        <f t="shared" si="28"/>
        <v>0.72</v>
      </c>
      <c r="J139" s="27">
        <f t="shared" si="29"/>
        <v>1.44</v>
      </c>
      <c r="K139" s="27">
        <f t="shared" si="30"/>
        <v>1.7999999999999998</v>
      </c>
      <c r="L139" s="27">
        <f t="shared" si="31"/>
        <v>18</v>
      </c>
      <c r="M139" s="34">
        <f t="shared" si="32"/>
        <v>1036</v>
      </c>
    </row>
    <row r="140" spans="1:13" ht="15" customHeight="1" x14ac:dyDescent="0.3">
      <c r="A140" s="5">
        <v>1037</v>
      </c>
      <c r="B140" s="5">
        <v>37</v>
      </c>
      <c r="C140" s="27">
        <f t="shared" si="22"/>
        <v>1.8499999999999999E-2</v>
      </c>
      <c r="D140" s="27">
        <f t="shared" si="23"/>
        <v>3.6999999999999998E-2</v>
      </c>
      <c r="E140" s="27">
        <f t="shared" si="24"/>
        <v>7.3999999999999996E-2</v>
      </c>
      <c r="F140" s="27">
        <f t="shared" si="25"/>
        <v>0.14799999999999999</v>
      </c>
      <c r="G140" s="27">
        <f t="shared" si="26"/>
        <v>0.185</v>
      </c>
      <c r="H140" s="27">
        <f t="shared" si="27"/>
        <v>0.37</v>
      </c>
      <c r="I140" s="27">
        <f t="shared" si="28"/>
        <v>0.74</v>
      </c>
      <c r="J140" s="27">
        <f t="shared" si="29"/>
        <v>1.48</v>
      </c>
      <c r="K140" s="27">
        <f t="shared" si="30"/>
        <v>1.8499999999999999</v>
      </c>
      <c r="L140" s="27">
        <f t="shared" si="31"/>
        <v>18.5</v>
      </c>
      <c r="M140" s="34">
        <f t="shared" si="32"/>
        <v>1037</v>
      </c>
    </row>
    <row r="141" spans="1:13" ht="15" customHeight="1" x14ac:dyDescent="0.3">
      <c r="A141" s="5">
        <v>1038</v>
      </c>
      <c r="B141" s="5">
        <v>38</v>
      </c>
      <c r="C141" s="27">
        <f t="shared" si="22"/>
        <v>1.9E-2</v>
      </c>
      <c r="D141" s="27">
        <f t="shared" si="23"/>
        <v>3.7999999999999999E-2</v>
      </c>
      <c r="E141" s="27">
        <f t="shared" si="24"/>
        <v>7.5999999999999998E-2</v>
      </c>
      <c r="F141" s="27">
        <f t="shared" si="25"/>
        <v>0.152</v>
      </c>
      <c r="G141" s="27">
        <f t="shared" si="26"/>
        <v>0.19</v>
      </c>
      <c r="H141" s="27">
        <f t="shared" si="27"/>
        <v>0.38</v>
      </c>
      <c r="I141" s="27">
        <f t="shared" si="28"/>
        <v>0.76</v>
      </c>
      <c r="J141" s="27">
        <f t="shared" si="29"/>
        <v>1.52</v>
      </c>
      <c r="K141" s="27">
        <f t="shared" si="30"/>
        <v>1.9</v>
      </c>
      <c r="L141" s="27">
        <f t="shared" si="31"/>
        <v>19</v>
      </c>
      <c r="M141" s="34">
        <f t="shared" si="32"/>
        <v>1038</v>
      </c>
    </row>
    <row r="142" spans="1:13" ht="15" customHeight="1" x14ac:dyDescent="0.3">
      <c r="A142" s="5">
        <v>1039</v>
      </c>
      <c r="B142" s="5">
        <v>39</v>
      </c>
      <c r="C142" s="27">
        <f t="shared" si="22"/>
        <v>1.95E-2</v>
      </c>
      <c r="D142" s="27">
        <f t="shared" si="23"/>
        <v>3.9E-2</v>
      </c>
      <c r="E142" s="27">
        <f t="shared" si="24"/>
        <v>7.8E-2</v>
      </c>
      <c r="F142" s="27">
        <f t="shared" si="25"/>
        <v>0.156</v>
      </c>
      <c r="G142" s="27">
        <f t="shared" si="26"/>
        <v>0.19500000000000001</v>
      </c>
      <c r="H142" s="27">
        <f t="shared" si="27"/>
        <v>0.39</v>
      </c>
      <c r="I142" s="27">
        <f t="shared" si="28"/>
        <v>0.78</v>
      </c>
      <c r="J142" s="27">
        <f t="shared" si="29"/>
        <v>1.56</v>
      </c>
      <c r="K142" s="27">
        <f t="shared" si="30"/>
        <v>1.95</v>
      </c>
      <c r="L142" s="27">
        <f t="shared" si="31"/>
        <v>19.5</v>
      </c>
      <c r="M142" s="34">
        <f t="shared" si="32"/>
        <v>1039</v>
      </c>
    </row>
    <row r="143" spans="1:13" ht="15" customHeight="1" x14ac:dyDescent="0.3">
      <c r="A143" s="9">
        <v>1040</v>
      </c>
      <c r="B143" s="5">
        <v>40</v>
      </c>
      <c r="C143" s="15">
        <f t="shared" si="22"/>
        <v>0.02</v>
      </c>
      <c r="D143" s="15">
        <f t="shared" si="23"/>
        <v>0.04</v>
      </c>
      <c r="E143" s="15">
        <f t="shared" si="24"/>
        <v>0.08</v>
      </c>
      <c r="F143" s="15">
        <f t="shared" si="25"/>
        <v>0.16</v>
      </c>
      <c r="G143" s="15">
        <f t="shared" si="26"/>
        <v>0.2</v>
      </c>
      <c r="H143" s="15">
        <f t="shared" si="27"/>
        <v>0.4</v>
      </c>
      <c r="I143" s="15">
        <f t="shared" si="28"/>
        <v>0.8</v>
      </c>
      <c r="J143" s="15">
        <f t="shared" si="29"/>
        <v>1.6</v>
      </c>
      <c r="K143" s="15">
        <f t="shared" si="30"/>
        <v>2</v>
      </c>
      <c r="L143" s="15">
        <f t="shared" si="31"/>
        <v>20</v>
      </c>
      <c r="M143" s="34">
        <f t="shared" si="32"/>
        <v>1040</v>
      </c>
    </row>
    <row r="144" spans="1:13" ht="15" customHeight="1" x14ac:dyDescent="0.3">
      <c r="A144" s="5">
        <v>1041</v>
      </c>
      <c r="B144" s="5">
        <v>41</v>
      </c>
      <c r="C144" s="27">
        <f t="shared" si="22"/>
        <v>2.0500000000000001E-2</v>
      </c>
      <c r="D144" s="27">
        <f t="shared" si="23"/>
        <v>4.1000000000000002E-2</v>
      </c>
      <c r="E144" s="27">
        <f t="shared" si="24"/>
        <v>8.2000000000000003E-2</v>
      </c>
      <c r="F144" s="27">
        <f t="shared" si="25"/>
        <v>0.16400000000000001</v>
      </c>
      <c r="G144" s="27">
        <f t="shared" si="26"/>
        <v>0.20500000000000002</v>
      </c>
      <c r="H144" s="27">
        <f t="shared" si="27"/>
        <v>0.41000000000000003</v>
      </c>
      <c r="I144" s="27">
        <f t="shared" si="28"/>
        <v>0.82000000000000006</v>
      </c>
      <c r="J144" s="27">
        <f t="shared" si="29"/>
        <v>1.6400000000000001</v>
      </c>
      <c r="K144" s="27">
        <f t="shared" si="30"/>
        <v>2.0500000000000003</v>
      </c>
      <c r="L144" s="27">
        <f t="shared" si="31"/>
        <v>20.5</v>
      </c>
      <c r="M144" s="34">
        <f t="shared" si="32"/>
        <v>1041</v>
      </c>
    </row>
    <row r="145" spans="1:13" ht="15" customHeight="1" x14ac:dyDescent="0.3">
      <c r="A145" s="5">
        <v>1042</v>
      </c>
      <c r="B145" s="5">
        <v>42</v>
      </c>
      <c r="C145" s="27">
        <f t="shared" si="22"/>
        <v>2.1000000000000001E-2</v>
      </c>
      <c r="D145" s="27">
        <f t="shared" si="23"/>
        <v>4.2000000000000003E-2</v>
      </c>
      <c r="E145" s="27">
        <f t="shared" si="24"/>
        <v>8.4000000000000005E-2</v>
      </c>
      <c r="F145" s="27">
        <f t="shared" si="25"/>
        <v>0.16800000000000001</v>
      </c>
      <c r="G145" s="27">
        <f t="shared" si="26"/>
        <v>0.21000000000000002</v>
      </c>
      <c r="H145" s="27">
        <f t="shared" si="27"/>
        <v>0.42000000000000004</v>
      </c>
      <c r="I145" s="27">
        <f t="shared" si="28"/>
        <v>0.84000000000000008</v>
      </c>
      <c r="J145" s="27">
        <f t="shared" si="29"/>
        <v>1.6800000000000002</v>
      </c>
      <c r="K145" s="27">
        <f t="shared" si="30"/>
        <v>2.1</v>
      </c>
      <c r="L145" s="27">
        <f t="shared" si="31"/>
        <v>21</v>
      </c>
      <c r="M145" s="34">
        <f t="shared" si="32"/>
        <v>1042</v>
      </c>
    </row>
    <row r="146" spans="1:13" ht="15" customHeight="1" x14ac:dyDescent="0.3">
      <c r="A146" s="5">
        <v>1043</v>
      </c>
      <c r="B146" s="5">
        <v>43</v>
      </c>
      <c r="C146" s="27">
        <f t="shared" si="22"/>
        <v>2.1499999999999998E-2</v>
      </c>
      <c r="D146" s="27">
        <f t="shared" si="23"/>
        <v>4.2999999999999997E-2</v>
      </c>
      <c r="E146" s="27">
        <f t="shared" si="24"/>
        <v>8.5999999999999993E-2</v>
      </c>
      <c r="F146" s="27">
        <f t="shared" si="25"/>
        <v>0.17199999999999999</v>
      </c>
      <c r="G146" s="27">
        <f t="shared" si="26"/>
        <v>0.21499999999999997</v>
      </c>
      <c r="H146" s="27">
        <f t="shared" si="27"/>
        <v>0.42999999999999994</v>
      </c>
      <c r="I146" s="27">
        <f t="shared" si="28"/>
        <v>0.85999999999999988</v>
      </c>
      <c r="J146" s="27">
        <f t="shared" si="29"/>
        <v>1.7199999999999998</v>
      </c>
      <c r="K146" s="27">
        <f t="shared" si="30"/>
        <v>2.15</v>
      </c>
      <c r="L146" s="27">
        <f t="shared" si="31"/>
        <v>21.5</v>
      </c>
      <c r="M146" s="34">
        <f t="shared" si="32"/>
        <v>1043</v>
      </c>
    </row>
    <row r="147" spans="1:13" ht="15" customHeight="1" x14ac:dyDescent="0.3">
      <c r="A147" s="5">
        <v>1044</v>
      </c>
      <c r="B147" s="5">
        <v>44</v>
      </c>
      <c r="C147" s="27">
        <f t="shared" si="22"/>
        <v>2.1999999999999999E-2</v>
      </c>
      <c r="D147" s="27">
        <f t="shared" si="23"/>
        <v>4.3999999999999997E-2</v>
      </c>
      <c r="E147" s="27">
        <f t="shared" si="24"/>
        <v>8.7999999999999995E-2</v>
      </c>
      <c r="F147" s="27">
        <f t="shared" si="25"/>
        <v>0.17599999999999999</v>
      </c>
      <c r="G147" s="27">
        <f t="shared" si="26"/>
        <v>0.21999999999999997</v>
      </c>
      <c r="H147" s="27">
        <f t="shared" si="27"/>
        <v>0.43999999999999995</v>
      </c>
      <c r="I147" s="27">
        <f t="shared" si="28"/>
        <v>0.87999999999999989</v>
      </c>
      <c r="J147" s="27">
        <f t="shared" si="29"/>
        <v>1.7599999999999998</v>
      </c>
      <c r="K147" s="27">
        <f t="shared" si="30"/>
        <v>2.1999999999999997</v>
      </c>
      <c r="L147" s="27">
        <f t="shared" si="31"/>
        <v>22</v>
      </c>
      <c r="M147" s="34">
        <f t="shared" si="32"/>
        <v>1044</v>
      </c>
    </row>
    <row r="148" spans="1:13" ht="15" customHeight="1" x14ac:dyDescent="0.3">
      <c r="A148" s="5">
        <v>1045</v>
      </c>
      <c r="B148" s="5">
        <v>45</v>
      </c>
      <c r="C148" s="27">
        <f t="shared" si="22"/>
        <v>2.2499999999999999E-2</v>
      </c>
      <c r="D148" s="27">
        <f t="shared" si="23"/>
        <v>4.4999999999999998E-2</v>
      </c>
      <c r="E148" s="27">
        <f t="shared" si="24"/>
        <v>0.09</v>
      </c>
      <c r="F148" s="27">
        <f t="shared" si="25"/>
        <v>0.18</v>
      </c>
      <c r="G148" s="27">
        <f t="shared" si="26"/>
        <v>0.22499999999999998</v>
      </c>
      <c r="H148" s="27">
        <f t="shared" si="27"/>
        <v>0.44999999999999996</v>
      </c>
      <c r="I148" s="27">
        <f t="shared" si="28"/>
        <v>0.89999999999999991</v>
      </c>
      <c r="J148" s="27">
        <f t="shared" si="29"/>
        <v>1.7999999999999998</v>
      </c>
      <c r="K148" s="27">
        <f t="shared" si="30"/>
        <v>2.25</v>
      </c>
      <c r="L148" s="27">
        <f t="shared" si="31"/>
        <v>22.5</v>
      </c>
      <c r="M148" s="34">
        <f t="shared" si="32"/>
        <v>1045</v>
      </c>
    </row>
    <row r="149" spans="1:13" ht="15" customHeight="1" x14ac:dyDescent="0.3">
      <c r="A149" s="5">
        <v>1046</v>
      </c>
      <c r="B149" s="5">
        <v>46</v>
      </c>
      <c r="C149" s="27">
        <f t="shared" si="22"/>
        <v>2.3E-2</v>
      </c>
      <c r="D149" s="27">
        <f t="shared" si="23"/>
        <v>4.5999999999999999E-2</v>
      </c>
      <c r="E149" s="27">
        <f t="shared" si="24"/>
        <v>9.1999999999999998E-2</v>
      </c>
      <c r="F149" s="27">
        <f t="shared" si="25"/>
        <v>0.184</v>
      </c>
      <c r="G149" s="27">
        <f t="shared" si="26"/>
        <v>0.22999999999999998</v>
      </c>
      <c r="H149" s="27">
        <f t="shared" si="27"/>
        <v>0.45999999999999996</v>
      </c>
      <c r="I149" s="27">
        <f t="shared" si="28"/>
        <v>0.91999999999999993</v>
      </c>
      <c r="J149" s="27">
        <f t="shared" si="29"/>
        <v>1.8399999999999999</v>
      </c>
      <c r="K149" s="27">
        <f t="shared" si="30"/>
        <v>2.2999999999999998</v>
      </c>
      <c r="L149" s="27">
        <f t="shared" si="31"/>
        <v>23</v>
      </c>
      <c r="M149" s="34">
        <f t="shared" si="32"/>
        <v>1046</v>
      </c>
    </row>
    <row r="150" spans="1:13" ht="15" customHeight="1" x14ac:dyDescent="0.3">
      <c r="A150" s="5">
        <v>1047</v>
      </c>
      <c r="B150" s="5">
        <v>47</v>
      </c>
      <c r="C150" s="27">
        <f t="shared" si="22"/>
        <v>2.35E-2</v>
      </c>
      <c r="D150" s="27">
        <f t="shared" si="23"/>
        <v>4.7E-2</v>
      </c>
      <c r="E150" s="27">
        <f t="shared" si="24"/>
        <v>9.4E-2</v>
      </c>
      <c r="F150" s="27">
        <f t="shared" si="25"/>
        <v>0.188</v>
      </c>
      <c r="G150" s="27">
        <f t="shared" si="26"/>
        <v>0.23499999999999999</v>
      </c>
      <c r="H150" s="27">
        <f t="shared" si="27"/>
        <v>0.47</v>
      </c>
      <c r="I150" s="27">
        <f t="shared" si="28"/>
        <v>0.94</v>
      </c>
      <c r="J150" s="27">
        <f t="shared" si="29"/>
        <v>1.88</v>
      </c>
      <c r="K150" s="27">
        <f t="shared" si="30"/>
        <v>2.35</v>
      </c>
      <c r="L150" s="27">
        <f t="shared" si="31"/>
        <v>23.5</v>
      </c>
      <c r="M150" s="34">
        <f t="shared" si="32"/>
        <v>1047</v>
      </c>
    </row>
    <row r="151" spans="1:13" ht="15" customHeight="1" x14ac:dyDescent="0.3">
      <c r="A151" s="5">
        <v>1048</v>
      </c>
      <c r="B151" s="5">
        <v>48</v>
      </c>
      <c r="C151" s="27">
        <f t="shared" si="22"/>
        <v>2.4E-2</v>
      </c>
      <c r="D151" s="27">
        <f t="shared" si="23"/>
        <v>4.8000000000000001E-2</v>
      </c>
      <c r="E151" s="27">
        <f t="shared" si="24"/>
        <v>9.6000000000000002E-2</v>
      </c>
      <c r="F151" s="27">
        <f t="shared" si="25"/>
        <v>0.192</v>
      </c>
      <c r="G151" s="27">
        <f t="shared" si="26"/>
        <v>0.24</v>
      </c>
      <c r="H151" s="27">
        <f t="shared" si="27"/>
        <v>0.48</v>
      </c>
      <c r="I151" s="27">
        <f t="shared" si="28"/>
        <v>0.96</v>
      </c>
      <c r="J151" s="27">
        <f t="shared" si="29"/>
        <v>1.92</v>
      </c>
      <c r="K151" s="27">
        <f t="shared" si="30"/>
        <v>2.4</v>
      </c>
      <c r="L151" s="27">
        <f t="shared" si="31"/>
        <v>24</v>
      </c>
      <c r="M151" s="34">
        <f t="shared" si="32"/>
        <v>1048</v>
      </c>
    </row>
    <row r="152" spans="1:13" ht="15" customHeight="1" x14ac:dyDescent="0.3">
      <c r="A152" s="5">
        <v>1049</v>
      </c>
      <c r="B152" s="5">
        <v>49</v>
      </c>
      <c r="C152" s="27">
        <f t="shared" si="22"/>
        <v>2.4500000000000001E-2</v>
      </c>
      <c r="D152" s="27">
        <f t="shared" si="23"/>
        <v>4.9000000000000002E-2</v>
      </c>
      <c r="E152" s="27">
        <f t="shared" si="24"/>
        <v>9.8000000000000004E-2</v>
      </c>
      <c r="F152" s="27">
        <f t="shared" si="25"/>
        <v>0.19600000000000001</v>
      </c>
      <c r="G152" s="27">
        <f t="shared" si="26"/>
        <v>0.245</v>
      </c>
      <c r="H152" s="27">
        <f t="shared" si="27"/>
        <v>0.49</v>
      </c>
      <c r="I152" s="27">
        <f t="shared" si="28"/>
        <v>0.98</v>
      </c>
      <c r="J152" s="27">
        <f t="shared" si="29"/>
        <v>1.96</v>
      </c>
      <c r="K152" s="27">
        <f t="shared" si="30"/>
        <v>2.4500000000000002</v>
      </c>
      <c r="L152" s="27">
        <f t="shared" si="31"/>
        <v>24.5</v>
      </c>
      <c r="M152" s="34">
        <f t="shared" si="32"/>
        <v>1049</v>
      </c>
    </row>
    <row r="153" spans="1:13" ht="15" customHeight="1" x14ac:dyDescent="0.3">
      <c r="A153" s="9">
        <v>1050</v>
      </c>
      <c r="B153" s="5">
        <v>50</v>
      </c>
      <c r="C153" s="15">
        <f t="shared" si="22"/>
        <v>2.5000000000000001E-2</v>
      </c>
      <c r="D153" s="15">
        <f t="shared" si="23"/>
        <v>0.05</v>
      </c>
      <c r="E153" s="15">
        <f t="shared" si="24"/>
        <v>0.1</v>
      </c>
      <c r="F153" s="15">
        <f t="shared" si="25"/>
        <v>0.2</v>
      </c>
      <c r="G153" s="15">
        <f t="shared" si="26"/>
        <v>0.25</v>
      </c>
      <c r="H153" s="15">
        <f t="shared" si="27"/>
        <v>0.5</v>
      </c>
      <c r="I153" s="15">
        <f t="shared" si="28"/>
        <v>1</v>
      </c>
      <c r="J153" s="15">
        <f t="shared" si="29"/>
        <v>2</v>
      </c>
      <c r="K153" s="15">
        <f t="shared" si="30"/>
        <v>2.5</v>
      </c>
      <c r="L153" s="15">
        <f t="shared" si="31"/>
        <v>25</v>
      </c>
      <c r="M153" s="34">
        <f t="shared" si="32"/>
        <v>1050</v>
      </c>
    </row>
    <row r="154" spans="1:13" ht="15" customHeight="1" x14ac:dyDescent="0.3">
      <c r="A154" s="5">
        <v>1051</v>
      </c>
      <c r="B154" s="5">
        <v>51</v>
      </c>
      <c r="C154" s="27">
        <f t="shared" si="22"/>
        <v>2.5499999999999998E-2</v>
      </c>
      <c r="D154" s="27">
        <f t="shared" si="23"/>
        <v>5.0999999999999997E-2</v>
      </c>
      <c r="E154" s="27">
        <f t="shared" si="24"/>
        <v>0.10199999999999999</v>
      </c>
      <c r="F154" s="27">
        <f t="shared" si="25"/>
        <v>0.20399999999999999</v>
      </c>
      <c r="G154" s="27">
        <f t="shared" si="26"/>
        <v>0.255</v>
      </c>
      <c r="H154" s="27">
        <f t="shared" si="27"/>
        <v>0.51</v>
      </c>
      <c r="I154" s="27">
        <f t="shared" si="28"/>
        <v>1.02</v>
      </c>
      <c r="J154" s="27">
        <f t="shared" si="29"/>
        <v>2.04</v>
      </c>
      <c r="K154" s="27">
        <f t="shared" si="30"/>
        <v>2.5499999999999998</v>
      </c>
      <c r="L154" s="27">
        <f t="shared" si="31"/>
        <v>25.5</v>
      </c>
      <c r="M154" s="34">
        <f t="shared" si="32"/>
        <v>1051</v>
      </c>
    </row>
    <row r="155" spans="1:13" ht="15" customHeight="1" x14ac:dyDescent="0.3">
      <c r="A155" s="5">
        <v>1052</v>
      </c>
      <c r="B155" s="5">
        <v>52</v>
      </c>
      <c r="C155" s="27">
        <f t="shared" si="22"/>
        <v>2.5999999999999999E-2</v>
      </c>
      <c r="D155" s="27">
        <f t="shared" si="23"/>
        <v>5.1999999999999998E-2</v>
      </c>
      <c r="E155" s="27">
        <f t="shared" si="24"/>
        <v>0.104</v>
      </c>
      <c r="F155" s="27">
        <f t="shared" si="25"/>
        <v>0.20799999999999999</v>
      </c>
      <c r="G155" s="27">
        <f t="shared" si="26"/>
        <v>0.26</v>
      </c>
      <c r="H155" s="27">
        <f t="shared" si="27"/>
        <v>0.52</v>
      </c>
      <c r="I155" s="27">
        <f t="shared" si="28"/>
        <v>1.04</v>
      </c>
      <c r="J155" s="27">
        <f t="shared" si="29"/>
        <v>2.08</v>
      </c>
      <c r="K155" s="27">
        <f t="shared" si="30"/>
        <v>2.6</v>
      </c>
      <c r="L155" s="27">
        <f t="shared" si="31"/>
        <v>26</v>
      </c>
      <c r="M155" s="34">
        <f t="shared" si="32"/>
        <v>1052</v>
      </c>
    </row>
    <row r="156" spans="1:13" ht="15" customHeight="1" x14ac:dyDescent="0.3">
      <c r="A156" s="5">
        <v>1053</v>
      </c>
      <c r="B156" s="5">
        <v>53</v>
      </c>
      <c r="C156" s="27">
        <f t="shared" si="22"/>
        <v>2.6499999999999999E-2</v>
      </c>
      <c r="D156" s="27">
        <f t="shared" si="23"/>
        <v>5.2999999999999999E-2</v>
      </c>
      <c r="E156" s="27">
        <f t="shared" si="24"/>
        <v>0.106</v>
      </c>
      <c r="F156" s="27">
        <f t="shared" si="25"/>
        <v>0.21199999999999999</v>
      </c>
      <c r="G156" s="27">
        <f t="shared" si="26"/>
        <v>0.26500000000000001</v>
      </c>
      <c r="H156" s="27">
        <f t="shared" si="27"/>
        <v>0.53</v>
      </c>
      <c r="I156" s="27">
        <f t="shared" si="28"/>
        <v>1.06</v>
      </c>
      <c r="J156" s="27">
        <f t="shared" si="29"/>
        <v>2.12</v>
      </c>
      <c r="K156" s="27">
        <f t="shared" si="30"/>
        <v>2.65</v>
      </c>
      <c r="L156" s="27">
        <f t="shared" si="31"/>
        <v>26.5</v>
      </c>
      <c r="M156" s="34">
        <f t="shared" si="32"/>
        <v>1053</v>
      </c>
    </row>
    <row r="157" spans="1:13" ht="15" customHeight="1" x14ac:dyDescent="0.3">
      <c r="A157" s="5">
        <v>1054</v>
      </c>
      <c r="B157" s="5">
        <v>54</v>
      </c>
      <c r="C157" s="27">
        <f t="shared" si="22"/>
        <v>2.7E-2</v>
      </c>
      <c r="D157" s="27">
        <f t="shared" si="23"/>
        <v>5.3999999999999999E-2</v>
      </c>
      <c r="E157" s="27">
        <f t="shared" si="24"/>
        <v>0.108</v>
      </c>
      <c r="F157" s="27">
        <f t="shared" si="25"/>
        <v>0.216</v>
      </c>
      <c r="G157" s="27">
        <f t="shared" si="26"/>
        <v>0.27</v>
      </c>
      <c r="H157" s="27">
        <f t="shared" si="27"/>
        <v>0.54</v>
      </c>
      <c r="I157" s="27">
        <f t="shared" si="28"/>
        <v>1.08</v>
      </c>
      <c r="J157" s="27">
        <f t="shared" si="29"/>
        <v>2.16</v>
      </c>
      <c r="K157" s="27">
        <f t="shared" si="30"/>
        <v>2.7</v>
      </c>
      <c r="L157" s="27">
        <f t="shared" si="31"/>
        <v>27</v>
      </c>
      <c r="M157" s="34">
        <f t="shared" si="32"/>
        <v>1054</v>
      </c>
    </row>
    <row r="158" spans="1:13" ht="15" customHeight="1" x14ac:dyDescent="0.3">
      <c r="A158" s="5">
        <v>1055</v>
      </c>
      <c r="B158" s="5">
        <v>55</v>
      </c>
      <c r="C158" s="27">
        <f t="shared" si="22"/>
        <v>2.75E-2</v>
      </c>
      <c r="D158" s="27">
        <f t="shared" si="23"/>
        <v>5.5E-2</v>
      </c>
      <c r="E158" s="27">
        <f t="shared" si="24"/>
        <v>0.11</v>
      </c>
      <c r="F158" s="27">
        <f t="shared" si="25"/>
        <v>0.22</v>
      </c>
      <c r="G158" s="27">
        <f t="shared" si="26"/>
        <v>0.27500000000000002</v>
      </c>
      <c r="H158" s="27">
        <f t="shared" si="27"/>
        <v>0.55000000000000004</v>
      </c>
      <c r="I158" s="27">
        <f t="shared" si="28"/>
        <v>1.1000000000000001</v>
      </c>
      <c r="J158" s="27">
        <f t="shared" si="29"/>
        <v>2.2000000000000002</v>
      </c>
      <c r="K158" s="27">
        <f t="shared" si="30"/>
        <v>2.75</v>
      </c>
      <c r="L158" s="27">
        <f t="shared" si="31"/>
        <v>27.5</v>
      </c>
      <c r="M158" s="34">
        <f t="shared" si="32"/>
        <v>1055</v>
      </c>
    </row>
    <row r="159" spans="1:13" ht="15" customHeight="1" x14ac:dyDescent="0.3">
      <c r="A159" s="5">
        <v>1056</v>
      </c>
      <c r="B159" s="5">
        <v>56</v>
      </c>
      <c r="C159" s="27">
        <f t="shared" si="22"/>
        <v>2.8000000000000001E-2</v>
      </c>
      <c r="D159" s="27">
        <f t="shared" si="23"/>
        <v>5.6000000000000001E-2</v>
      </c>
      <c r="E159" s="27">
        <f t="shared" si="24"/>
        <v>0.112</v>
      </c>
      <c r="F159" s="27">
        <f t="shared" si="25"/>
        <v>0.224</v>
      </c>
      <c r="G159" s="27">
        <f t="shared" si="26"/>
        <v>0.28000000000000003</v>
      </c>
      <c r="H159" s="27">
        <f t="shared" si="27"/>
        <v>0.56000000000000005</v>
      </c>
      <c r="I159" s="27">
        <f t="shared" si="28"/>
        <v>1.1200000000000001</v>
      </c>
      <c r="J159" s="27">
        <f t="shared" si="29"/>
        <v>2.2400000000000002</v>
      </c>
      <c r="K159" s="27">
        <f t="shared" si="30"/>
        <v>2.8000000000000003</v>
      </c>
      <c r="L159" s="27">
        <f t="shared" si="31"/>
        <v>28</v>
      </c>
      <c r="M159" s="34">
        <f t="shared" si="32"/>
        <v>1056</v>
      </c>
    </row>
    <row r="160" spans="1:13" ht="15" customHeight="1" x14ac:dyDescent="0.3">
      <c r="A160" s="5">
        <v>1057</v>
      </c>
      <c r="B160" s="5">
        <v>57</v>
      </c>
      <c r="C160" s="27">
        <f t="shared" si="22"/>
        <v>2.8500000000000001E-2</v>
      </c>
      <c r="D160" s="27">
        <f t="shared" si="23"/>
        <v>5.7000000000000002E-2</v>
      </c>
      <c r="E160" s="27">
        <f t="shared" si="24"/>
        <v>0.114</v>
      </c>
      <c r="F160" s="27">
        <f t="shared" si="25"/>
        <v>0.22800000000000001</v>
      </c>
      <c r="G160" s="27">
        <f t="shared" si="26"/>
        <v>0.28500000000000003</v>
      </c>
      <c r="H160" s="27">
        <f t="shared" si="27"/>
        <v>0.57000000000000006</v>
      </c>
      <c r="I160" s="27">
        <f t="shared" si="28"/>
        <v>1.1400000000000001</v>
      </c>
      <c r="J160" s="27">
        <f t="shared" si="29"/>
        <v>2.2800000000000002</v>
      </c>
      <c r="K160" s="27">
        <f t="shared" si="30"/>
        <v>2.85</v>
      </c>
      <c r="L160" s="27">
        <f t="shared" si="31"/>
        <v>28.5</v>
      </c>
      <c r="M160" s="34">
        <f t="shared" si="32"/>
        <v>1057</v>
      </c>
    </row>
    <row r="161" spans="1:13" ht="15" customHeight="1" x14ac:dyDescent="0.3">
      <c r="A161" s="5">
        <v>1058</v>
      </c>
      <c r="B161" s="5">
        <v>58</v>
      </c>
      <c r="C161" s="27">
        <f t="shared" si="22"/>
        <v>2.9000000000000001E-2</v>
      </c>
      <c r="D161" s="27">
        <f t="shared" si="23"/>
        <v>5.8000000000000003E-2</v>
      </c>
      <c r="E161" s="27">
        <f t="shared" si="24"/>
        <v>0.11600000000000001</v>
      </c>
      <c r="F161" s="27">
        <f t="shared" si="25"/>
        <v>0.23200000000000001</v>
      </c>
      <c r="G161" s="27">
        <f t="shared" si="26"/>
        <v>0.29000000000000004</v>
      </c>
      <c r="H161" s="27">
        <f t="shared" si="27"/>
        <v>0.58000000000000007</v>
      </c>
      <c r="I161" s="27">
        <f t="shared" si="28"/>
        <v>1.1600000000000001</v>
      </c>
      <c r="J161" s="27">
        <f t="shared" si="29"/>
        <v>2.3200000000000003</v>
      </c>
      <c r="K161" s="27">
        <f t="shared" si="30"/>
        <v>2.9000000000000004</v>
      </c>
      <c r="L161" s="27">
        <f t="shared" si="31"/>
        <v>29</v>
      </c>
      <c r="M161" s="34">
        <f t="shared" si="32"/>
        <v>1058</v>
      </c>
    </row>
    <row r="162" spans="1:13" ht="15" customHeight="1" x14ac:dyDescent="0.3">
      <c r="A162" s="5">
        <v>1059</v>
      </c>
      <c r="B162" s="5">
        <v>59</v>
      </c>
      <c r="C162" s="27">
        <f t="shared" si="22"/>
        <v>2.9499999999999998E-2</v>
      </c>
      <c r="D162" s="27">
        <f t="shared" si="23"/>
        <v>5.8999999999999997E-2</v>
      </c>
      <c r="E162" s="27">
        <f t="shared" si="24"/>
        <v>0.11799999999999999</v>
      </c>
      <c r="F162" s="27">
        <f t="shared" si="25"/>
        <v>0.23599999999999999</v>
      </c>
      <c r="G162" s="27">
        <f t="shared" si="26"/>
        <v>0.29499999999999998</v>
      </c>
      <c r="H162" s="27">
        <f t="shared" si="27"/>
        <v>0.59</v>
      </c>
      <c r="I162" s="27">
        <f t="shared" si="28"/>
        <v>1.18</v>
      </c>
      <c r="J162" s="27">
        <f t="shared" si="29"/>
        <v>2.36</v>
      </c>
      <c r="K162" s="27">
        <f t="shared" si="30"/>
        <v>2.9499999999999997</v>
      </c>
      <c r="L162" s="27">
        <f t="shared" si="31"/>
        <v>29.5</v>
      </c>
      <c r="M162" s="34">
        <f t="shared" si="32"/>
        <v>1059</v>
      </c>
    </row>
    <row r="163" spans="1:13" ht="15" customHeight="1" x14ac:dyDescent="0.3">
      <c r="A163" s="9">
        <v>1060</v>
      </c>
      <c r="B163" s="5">
        <v>60</v>
      </c>
      <c r="C163" s="15">
        <f t="shared" si="22"/>
        <v>0.03</v>
      </c>
      <c r="D163" s="15">
        <f t="shared" si="23"/>
        <v>0.06</v>
      </c>
      <c r="E163" s="15">
        <f t="shared" si="24"/>
        <v>0.12</v>
      </c>
      <c r="F163" s="15">
        <f t="shared" si="25"/>
        <v>0.24</v>
      </c>
      <c r="G163" s="15">
        <f t="shared" si="26"/>
        <v>0.3</v>
      </c>
      <c r="H163" s="15">
        <f t="shared" si="27"/>
        <v>0.6</v>
      </c>
      <c r="I163" s="15">
        <f t="shared" si="28"/>
        <v>1.2</v>
      </c>
      <c r="J163" s="15">
        <f t="shared" si="29"/>
        <v>2.4</v>
      </c>
      <c r="K163" s="15">
        <f t="shared" si="30"/>
        <v>3</v>
      </c>
      <c r="L163" s="15">
        <f t="shared" si="31"/>
        <v>30</v>
      </c>
      <c r="M163" s="34">
        <f t="shared" si="32"/>
        <v>1060</v>
      </c>
    </row>
    <row r="164" spans="1:13" ht="15" customHeight="1" x14ac:dyDescent="0.3">
      <c r="A164" s="5">
        <v>1061</v>
      </c>
      <c r="B164" s="5">
        <v>61</v>
      </c>
      <c r="C164" s="27">
        <f t="shared" si="22"/>
        <v>3.0499999999999999E-2</v>
      </c>
      <c r="D164" s="27">
        <f t="shared" si="23"/>
        <v>6.0999999999999999E-2</v>
      </c>
      <c r="E164" s="27">
        <f t="shared" si="24"/>
        <v>0.122</v>
      </c>
      <c r="F164" s="27">
        <f t="shared" si="25"/>
        <v>0.24399999999999999</v>
      </c>
      <c r="G164" s="27">
        <f t="shared" si="26"/>
        <v>0.30499999999999999</v>
      </c>
      <c r="H164" s="27">
        <f t="shared" si="27"/>
        <v>0.61</v>
      </c>
      <c r="I164" s="27">
        <f t="shared" si="28"/>
        <v>1.22</v>
      </c>
      <c r="J164" s="27">
        <f t="shared" si="29"/>
        <v>2.44</v>
      </c>
      <c r="K164" s="27">
        <f t="shared" si="30"/>
        <v>3.05</v>
      </c>
      <c r="L164" s="27">
        <f t="shared" si="31"/>
        <v>30.5</v>
      </c>
      <c r="M164" s="34">
        <f t="shared" si="32"/>
        <v>1061</v>
      </c>
    </row>
    <row r="165" spans="1:13" ht="15" customHeight="1" x14ac:dyDescent="0.3">
      <c r="A165" s="5">
        <v>1062</v>
      </c>
      <c r="B165" s="5">
        <v>62</v>
      </c>
      <c r="C165" s="27">
        <f t="shared" si="22"/>
        <v>3.1E-2</v>
      </c>
      <c r="D165" s="27">
        <f t="shared" si="23"/>
        <v>6.2E-2</v>
      </c>
      <c r="E165" s="27">
        <f t="shared" si="24"/>
        <v>0.124</v>
      </c>
      <c r="F165" s="27">
        <f t="shared" si="25"/>
        <v>0.248</v>
      </c>
      <c r="G165" s="27">
        <f t="shared" si="26"/>
        <v>0.31</v>
      </c>
      <c r="H165" s="27">
        <f t="shared" si="27"/>
        <v>0.62</v>
      </c>
      <c r="I165" s="27">
        <f t="shared" si="28"/>
        <v>1.24</v>
      </c>
      <c r="J165" s="27">
        <f t="shared" si="29"/>
        <v>2.48</v>
      </c>
      <c r="K165" s="27">
        <f t="shared" si="30"/>
        <v>3.1</v>
      </c>
      <c r="L165" s="27">
        <f t="shared" si="31"/>
        <v>31</v>
      </c>
      <c r="M165" s="34">
        <f t="shared" si="32"/>
        <v>1062</v>
      </c>
    </row>
    <row r="166" spans="1:13" ht="15" customHeight="1" x14ac:dyDescent="0.3">
      <c r="A166" s="5">
        <v>1063</v>
      </c>
      <c r="B166" s="5">
        <v>63</v>
      </c>
      <c r="C166" s="27">
        <f t="shared" si="22"/>
        <v>3.15E-2</v>
      </c>
      <c r="D166" s="27">
        <f t="shared" si="23"/>
        <v>6.3E-2</v>
      </c>
      <c r="E166" s="27">
        <f t="shared" si="24"/>
        <v>0.126</v>
      </c>
      <c r="F166" s="27">
        <f t="shared" si="25"/>
        <v>0.252</v>
      </c>
      <c r="G166" s="27">
        <f t="shared" si="26"/>
        <v>0.315</v>
      </c>
      <c r="H166" s="27">
        <f t="shared" si="27"/>
        <v>0.63</v>
      </c>
      <c r="I166" s="27">
        <f t="shared" si="28"/>
        <v>1.26</v>
      </c>
      <c r="J166" s="27">
        <f t="shared" si="29"/>
        <v>2.52</v>
      </c>
      <c r="K166" s="27">
        <f t="shared" si="30"/>
        <v>3.15</v>
      </c>
      <c r="L166" s="27">
        <f t="shared" si="31"/>
        <v>31.5</v>
      </c>
      <c r="M166" s="34">
        <f t="shared" si="32"/>
        <v>1063</v>
      </c>
    </row>
    <row r="167" spans="1:13" ht="15" customHeight="1" x14ac:dyDescent="0.3">
      <c r="A167" s="5">
        <v>1064</v>
      </c>
      <c r="B167" s="5">
        <v>64</v>
      </c>
      <c r="C167" s="27">
        <f t="shared" si="22"/>
        <v>3.2000000000000001E-2</v>
      </c>
      <c r="D167" s="27">
        <f t="shared" si="23"/>
        <v>6.4000000000000001E-2</v>
      </c>
      <c r="E167" s="27">
        <f t="shared" si="24"/>
        <v>0.128</v>
      </c>
      <c r="F167" s="27">
        <f t="shared" si="25"/>
        <v>0.25600000000000001</v>
      </c>
      <c r="G167" s="27">
        <f t="shared" si="26"/>
        <v>0.32</v>
      </c>
      <c r="H167" s="27">
        <f t="shared" si="27"/>
        <v>0.64</v>
      </c>
      <c r="I167" s="27">
        <f t="shared" si="28"/>
        <v>1.28</v>
      </c>
      <c r="J167" s="27">
        <f t="shared" si="29"/>
        <v>2.56</v>
      </c>
      <c r="K167" s="27">
        <f t="shared" si="30"/>
        <v>3.2</v>
      </c>
      <c r="L167" s="27">
        <f t="shared" si="31"/>
        <v>32</v>
      </c>
      <c r="M167" s="34">
        <f t="shared" si="32"/>
        <v>1064</v>
      </c>
    </row>
    <row r="168" spans="1:13" ht="15" customHeight="1" x14ac:dyDescent="0.3">
      <c r="A168" s="5">
        <v>1065</v>
      </c>
      <c r="B168" s="5">
        <v>65</v>
      </c>
      <c r="C168" s="27">
        <f t="shared" si="22"/>
        <v>3.2500000000000001E-2</v>
      </c>
      <c r="D168" s="27">
        <f t="shared" si="23"/>
        <v>6.5000000000000002E-2</v>
      </c>
      <c r="E168" s="27">
        <f t="shared" si="24"/>
        <v>0.13</v>
      </c>
      <c r="F168" s="27">
        <f t="shared" si="25"/>
        <v>0.26</v>
      </c>
      <c r="G168" s="27">
        <f t="shared" si="26"/>
        <v>0.32500000000000001</v>
      </c>
      <c r="H168" s="27">
        <f t="shared" si="27"/>
        <v>0.65</v>
      </c>
      <c r="I168" s="27">
        <f t="shared" si="28"/>
        <v>1.3</v>
      </c>
      <c r="J168" s="27">
        <f t="shared" si="29"/>
        <v>2.6</v>
      </c>
      <c r="K168" s="27">
        <f t="shared" si="30"/>
        <v>3.25</v>
      </c>
      <c r="L168" s="27">
        <f t="shared" si="31"/>
        <v>32.5</v>
      </c>
      <c r="M168" s="34">
        <f t="shared" si="32"/>
        <v>1065</v>
      </c>
    </row>
    <row r="169" spans="1:13" ht="15" customHeight="1" x14ac:dyDescent="0.3">
      <c r="A169" s="5">
        <v>1066</v>
      </c>
      <c r="B169" s="5">
        <v>66</v>
      </c>
      <c r="C169" s="27">
        <f t="shared" si="22"/>
        <v>3.3000000000000002E-2</v>
      </c>
      <c r="D169" s="27">
        <f t="shared" si="23"/>
        <v>6.6000000000000003E-2</v>
      </c>
      <c r="E169" s="27">
        <f t="shared" si="24"/>
        <v>0.13200000000000001</v>
      </c>
      <c r="F169" s="27">
        <f t="shared" si="25"/>
        <v>0.26400000000000001</v>
      </c>
      <c r="G169" s="27">
        <f t="shared" si="26"/>
        <v>0.33</v>
      </c>
      <c r="H169" s="27">
        <f t="shared" si="27"/>
        <v>0.66</v>
      </c>
      <c r="I169" s="27">
        <f t="shared" si="28"/>
        <v>1.32</v>
      </c>
      <c r="J169" s="27">
        <f t="shared" si="29"/>
        <v>2.64</v>
      </c>
      <c r="K169" s="27">
        <f t="shared" si="30"/>
        <v>3.3000000000000003</v>
      </c>
      <c r="L169" s="27">
        <f t="shared" si="31"/>
        <v>33</v>
      </c>
      <c r="M169" s="34">
        <f t="shared" si="32"/>
        <v>1066</v>
      </c>
    </row>
    <row r="170" spans="1:13" ht="15" customHeight="1" x14ac:dyDescent="0.3">
      <c r="A170" s="5">
        <v>1067</v>
      </c>
      <c r="B170" s="5">
        <v>67</v>
      </c>
      <c r="C170" s="27">
        <f t="shared" si="22"/>
        <v>3.3500000000000002E-2</v>
      </c>
      <c r="D170" s="27">
        <f t="shared" si="23"/>
        <v>6.7000000000000004E-2</v>
      </c>
      <c r="E170" s="27">
        <f t="shared" si="24"/>
        <v>0.13400000000000001</v>
      </c>
      <c r="F170" s="27">
        <f t="shared" si="25"/>
        <v>0.26800000000000002</v>
      </c>
      <c r="G170" s="27">
        <f t="shared" si="26"/>
        <v>0.33500000000000002</v>
      </c>
      <c r="H170" s="27">
        <f t="shared" si="27"/>
        <v>0.67</v>
      </c>
      <c r="I170" s="27">
        <f t="shared" si="28"/>
        <v>1.34</v>
      </c>
      <c r="J170" s="27">
        <f t="shared" si="29"/>
        <v>2.68</v>
      </c>
      <c r="K170" s="27">
        <f t="shared" si="30"/>
        <v>3.35</v>
      </c>
      <c r="L170" s="27">
        <f t="shared" si="31"/>
        <v>33.5</v>
      </c>
      <c r="M170" s="34">
        <f t="shared" si="32"/>
        <v>1067</v>
      </c>
    </row>
    <row r="171" spans="1:13" ht="15" customHeight="1" x14ac:dyDescent="0.3">
      <c r="A171" s="5">
        <v>1068</v>
      </c>
      <c r="B171" s="5">
        <v>68</v>
      </c>
      <c r="C171" s="27">
        <f t="shared" si="22"/>
        <v>3.4000000000000002E-2</v>
      </c>
      <c r="D171" s="27">
        <f t="shared" si="23"/>
        <v>6.8000000000000005E-2</v>
      </c>
      <c r="E171" s="27">
        <f t="shared" si="24"/>
        <v>0.13600000000000001</v>
      </c>
      <c r="F171" s="27">
        <f t="shared" si="25"/>
        <v>0.27200000000000002</v>
      </c>
      <c r="G171" s="27">
        <f t="shared" si="26"/>
        <v>0.34</v>
      </c>
      <c r="H171" s="27">
        <f t="shared" si="27"/>
        <v>0.68</v>
      </c>
      <c r="I171" s="27">
        <f t="shared" si="28"/>
        <v>1.36</v>
      </c>
      <c r="J171" s="27">
        <f t="shared" si="29"/>
        <v>2.72</v>
      </c>
      <c r="K171" s="27">
        <f t="shared" si="30"/>
        <v>3.4000000000000004</v>
      </c>
      <c r="L171" s="27">
        <f t="shared" si="31"/>
        <v>34</v>
      </c>
      <c r="M171" s="34">
        <f t="shared" si="32"/>
        <v>1068</v>
      </c>
    </row>
    <row r="172" spans="1:13" ht="15" customHeight="1" x14ac:dyDescent="0.3">
      <c r="A172" s="5">
        <v>1069</v>
      </c>
      <c r="B172" s="5">
        <v>69</v>
      </c>
      <c r="C172" s="27">
        <f t="shared" si="22"/>
        <v>3.4500000000000003E-2</v>
      </c>
      <c r="D172" s="27">
        <f t="shared" si="23"/>
        <v>6.9000000000000006E-2</v>
      </c>
      <c r="E172" s="27">
        <f t="shared" si="24"/>
        <v>0.13800000000000001</v>
      </c>
      <c r="F172" s="27">
        <f t="shared" si="25"/>
        <v>0.27600000000000002</v>
      </c>
      <c r="G172" s="27">
        <f t="shared" si="26"/>
        <v>0.34500000000000003</v>
      </c>
      <c r="H172" s="27">
        <f t="shared" si="27"/>
        <v>0.69000000000000006</v>
      </c>
      <c r="I172" s="27">
        <f t="shared" si="28"/>
        <v>1.3800000000000001</v>
      </c>
      <c r="J172" s="27">
        <f t="shared" si="29"/>
        <v>2.7600000000000002</v>
      </c>
      <c r="K172" s="27">
        <f t="shared" si="30"/>
        <v>3.45</v>
      </c>
      <c r="L172" s="27">
        <f t="shared" si="31"/>
        <v>34.5</v>
      </c>
      <c r="M172" s="34">
        <f t="shared" si="32"/>
        <v>1069</v>
      </c>
    </row>
    <row r="173" spans="1:13" ht="15" customHeight="1" x14ac:dyDescent="0.3">
      <c r="A173" s="9">
        <v>1070</v>
      </c>
      <c r="B173" s="5">
        <v>70</v>
      </c>
      <c r="C173" s="15">
        <f t="shared" si="22"/>
        <v>3.5000000000000003E-2</v>
      </c>
      <c r="D173" s="15">
        <f t="shared" si="23"/>
        <v>7.0000000000000007E-2</v>
      </c>
      <c r="E173" s="15">
        <f t="shared" si="24"/>
        <v>0.14000000000000001</v>
      </c>
      <c r="F173" s="15">
        <f t="shared" si="25"/>
        <v>0.28000000000000003</v>
      </c>
      <c r="G173" s="15">
        <f t="shared" si="26"/>
        <v>0.35000000000000003</v>
      </c>
      <c r="H173" s="15">
        <f t="shared" si="27"/>
        <v>0.70000000000000007</v>
      </c>
      <c r="I173" s="15">
        <f t="shared" si="28"/>
        <v>1.4000000000000001</v>
      </c>
      <c r="J173" s="15">
        <f t="shared" si="29"/>
        <v>2.8000000000000003</v>
      </c>
      <c r="K173" s="15">
        <f t="shared" si="30"/>
        <v>3.5000000000000004</v>
      </c>
      <c r="L173" s="15">
        <f t="shared" si="31"/>
        <v>35</v>
      </c>
      <c r="M173" s="34">
        <f t="shared" si="32"/>
        <v>1070</v>
      </c>
    </row>
    <row r="174" spans="1:13" ht="15" customHeight="1" x14ac:dyDescent="0.3">
      <c r="A174" s="5">
        <v>1071</v>
      </c>
      <c r="B174" s="5">
        <v>71</v>
      </c>
      <c r="C174" s="27">
        <f t="shared" si="22"/>
        <v>3.5499999999999997E-2</v>
      </c>
      <c r="D174" s="27">
        <f t="shared" si="23"/>
        <v>7.0999999999999994E-2</v>
      </c>
      <c r="E174" s="27">
        <f t="shared" si="24"/>
        <v>0.14199999999999999</v>
      </c>
      <c r="F174" s="27">
        <f t="shared" si="25"/>
        <v>0.28399999999999997</v>
      </c>
      <c r="G174" s="27">
        <f t="shared" si="26"/>
        <v>0.35499999999999998</v>
      </c>
      <c r="H174" s="27">
        <f t="shared" si="27"/>
        <v>0.71</v>
      </c>
      <c r="I174" s="27">
        <f t="shared" si="28"/>
        <v>1.42</v>
      </c>
      <c r="J174" s="27">
        <f t="shared" si="29"/>
        <v>2.84</v>
      </c>
      <c r="K174" s="27">
        <f t="shared" si="30"/>
        <v>3.55</v>
      </c>
      <c r="L174" s="27">
        <f t="shared" si="31"/>
        <v>35.5</v>
      </c>
      <c r="M174" s="34">
        <f t="shared" si="32"/>
        <v>1071</v>
      </c>
    </row>
    <row r="175" spans="1:13" ht="15" customHeight="1" x14ac:dyDescent="0.3">
      <c r="A175" s="5">
        <v>1072</v>
      </c>
      <c r="B175" s="5">
        <v>72</v>
      </c>
      <c r="C175" s="27">
        <f t="shared" si="22"/>
        <v>3.5999999999999997E-2</v>
      </c>
      <c r="D175" s="27">
        <f t="shared" si="23"/>
        <v>7.1999999999999995E-2</v>
      </c>
      <c r="E175" s="27">
        <f t="shared" si="24"/>
        <v>0.14399999999999999</v>
      </c>
      <c r="F175" s="27">
        <f t="shared" si="25"/>
        <v>0.28799999999999998</v>
      </c>
      <c r="G175" s="27">
        <f t="shared" si="26"/>
        <v>0.36</v>
      </c>
      <c r="H175" s="27">
        <f t="shared" si="27"/>
        <v>0.72</v>
      </c>
      <c r="I175" s="27">
        <f t="shared" si="28"/>
        <v>1.44</v>
      </c>
      <c r="J175" s="27">
        <f t="shared" si="29"/>
        <v>2.88</v>
      </c>
      <c r="K175" s="27">
        <f t="shared" si="30"/>
        <v>3.5999999999999996</v>
      </c>
      <c r="L175" s="27">
        <f t="shared" si="31"/>
        <v>36</v>
      </c>
      <c r="M175" s="34">
        <f t="shared" si="32"/>
        <v>1072</v>
      </c>
    </row>
    <row r="176" spans="1:13" ht="15" customHeight="1" x14ac:dyDescent="0.3">
      <c r="A176" s="5">
        <v>1073</v>
      </c>
      <c r="B176" s="5">
        <v>73</v>
      </c>
      <c r="C176" s="27">
        <f t="shared" si="22"/>
        <v>3.6499999999999998E-2</v>
      </c>
      <c r="D176" s="27">
        <f t="shared" si="23"/>
        <v>7.2999999999999995E-2</v>
      </c>
      <c r="E176" s="27">
        <f t="shared" si="24"/>
        <v>0.14599999999999999</v>
      </c>
      <c r="F176" s="27">
        <f t="shared" si="25"/>
        <v>0.29199999999999998</v>
      </c>
      <c r="G176" s="27">
        <f t="shared" si="26"/>
        <v>0.36499999999999999</v>
      </c>
      <c r="H176" s="27">
        <f t="shared" si="27"/>
        <v>0.73</v>
      </c>
      <c r="I176" s="27">
        <f t="shared" si="28"/>
        <v>1.46</v>
      </c>
      <c r="J176" s="27">
        <f t="shared" si="29"/>
        <v>2.92</v>
      </c>
      <c r="K176" s="27">
        <f t="shared" si="30"/>
        <v>3.65</v>
      </c>
      <c r="L176" s="27">
        <f t="shared" si="31"/>
        <v>36.5</v>
      </c>
      <c r="M176" s="34">
        <f t="shared" si="32"/>
        <v>1073</v>
      </c>
    </row>
    <row r="177" spans="1:13" ht="15" customHeight="1" x14ac:dyDescent="0.3">
      <c r="A177" s="5">
        <v>1074</v>
      </c>
      <c r="B177" s="5">
        <v>74</v>
      </c>
      <c r="C177" s="27">
        <f t="shared" si="22"/>
        <v>3.6999999999999998E-2</v>
      </c>
      <c r="D177" s="27">
        <f t="shared" si="23"/>
        <v>7.3999999999999996E-2</v>
      </c>
      <c r="E177" s="27">
        <f t="shared" si="24"/>
        <v>0.14799999999999999</v>
      </c>
      <c r="F177" s="27">
        <f t="shared" si="25"/>
        <v>0.29599999999999999</v>
      </c>
      <c r="G177" s="27">
        <f t="shared" si="26"/>
        <v>0.37</v>
      </c>
      <c r="H177" s="27">
        <f t="shared" si="27"/>
        <v>0.74</v>
      </c>
      <c r="I177" s="27">
        <f t="shared" si="28"/>
        <v>1.48</v>
      </c>
      <c r="J177" s="27">
        <f t="shared" si="29"/>
        <v>2.96</v>
      </c>
      <c r="K177" s="27">
        <f t="shared" si="30"/>
        <v>3.6999999999999997</v>
      </c>
      <c r="L177" s="27">
        <f t="shared" si="31"/>
        <v>37</v>
      </c>
      <c r="M177" s="34">
        <f t="shared" si="32"/>
        <v>1074</v>
      </c>
    </row>
    <row r="178" spans="1:13" ht="15" customHeight="1" x14ac:dyDescent="0.3">
      <c r="A178" s="5">
        <v>1075</v>
      </c>
      <c r="B178" s="5">
        <v>75</v>
      </c>
      <c r="C178" s="27">
        <f t="shared" si="22"/>
        <v>3.7499999999999999E-2</v>
      </c>
      <c r="D178" s="27">
        <f t="shared" si="23"/>
        <v>7.4999999999999997E-2</v>
      </c>
      <c r="E178" s="27">
        <f t="shared" si="24"/>
        <v>0.15</v>
      </c>
      <c r="F178" s="27">
        <f t="shared" si="25"/>
        <v>0.3</v>
      </c>
      <c r="G178" s="27">
        <f t="shared" si="26"/>
        <v>0.375</v>
      </c>
      <c r="H178" s="27">
        <f t="shared" si="27"/>
        <v>0.75</v>
      </c>
      <c r="I178" s="27">
        <f t="shared" si="28"/>
        <v>1.5</v>
      </c>
      <c r="J178" s="27">
        <f t="shared" si="29"/>
        <v>3</v>
      </c>
      <c r="K178" s="27">
        <f t="shared" si="30"/>
        <v>3.75</v>
      </c>
      <c r="L178" s="27">
        <f t="shared" si="31"/>
        <v>37.5</v>
      </c>
      <c r="M178" s="34">
        <f t="shared" si="32"/>
        <v>1075</v>
      </c>
    </row>
    <row r="179" spans="1:13" ht="15" customHeight="1" x14ac:dyDescent="0.3">
      <c r="A179" s="5">
        <v>1076</v>
      </c>
      <c r="B179" s="5">
        <v>76</v>
      </c>
      <c r="C179" s="27">
        <f t="shared" si="22"/>
        <v>3.7999999999999999E-2</v>
      </c>
      <c r="D179" s="27">
        <f t="shared" si="23"/>
        <v>7.5999999999999998E-2</v>
      </c>
      <c r="E179" s="27">
        <f t="shared" si="24"/>
        <v>0.152</v>
      </c>
      <c r="F179" s="27">
        <f t="shared" si="25"/>
        <v>0.30399999999999999</v>
      </c>
      <c r="G179" s="27">
        <f t="shared" si="26"/>
        <v>0.38</v>
      </c>
      <c r="H179" s="27">
        <f t="shared" si="27"/>
        <v>0.76</v>
      </c>
      <c r="I179" s="27">
        <f t="shared" si="28"/>
        <v>1.52</v>
      </c>
      <c r="J179" s="27">
        <f t="shared" si="29"/>
        <v>3.04</v>
      </c>
      <c r="K179" s="27">
        <f t="shared" si="30"/>
        <v>3.8</v>
      </c>
      <c r="L179" s="27">
        <f t="shared" si="31"/>
        <v>38</v>
      </c>
      <c r="M179" s="34">
        <f t="shared" si="32"/>
        <v>1076</v>
      </c>
    </row>
    <row r="180" spans="1:13" ht="15" customHeight="1" x14ac:dyDescent="0.3">
      <c r="A180" s="5">
        <v>1077</v>
      </c>
      <c r="B180" s="5">
        <v>77</v>
      </c>
      <c r="C180" s="27">
        <f t="shared" si="22"/>
        <v>3.85E-2</v>
      </c>
      <c r="D180" s="27">
        <f t="shared" si="23"/>
        <v>7.6999999999999999E-2</v>
      </c>
      <c r="E180" s="27">
        <f t="shared" si="24"/>
        <v>0.154</v>
      </c>
      <c r="F180" s="27">
        <f t="shared" si="25"/>
        <v>0.308</v>
      </c>
      <c r="G180" s="27">
        <f t="shared" si="26"/>
        <v>0.38500000000000001</v>
      </c>
      <c r="H180" s="27">
        <f t="shared" si="27"/>
        <v>0.77</v>
      </c>
      <c r="I180" s="27">
        <f t="shared" si="28"/>
        <v>1.54</v>
      </c>
      <c r="J180" s="27">
        <f t="shared" si="29"/>
        <v>3.08</v>
      </c>
      <c r="K180" s="27">
        <f t="shared" si="30"/>
        <v>3.85</v>
      </c>
      <c r="L180" s="27">
        <f t="shared" si="31"/>
        <v>38.5</v>
      </c>
      <c r="M180" s="34">
        <f t="shared" si="32"/>
        <v>1077</v>
      </c>
    </row>
    <row r="181" spans="1:13" ht="15" customHeight="1" x14ac:dyDescent="0.3">
      <c r="A181" s="5">
        <v>1078</v>
      </c>
      <c r="B181" s="5">
        <v>78</v>
      </c>
      <c r="C181" s="27">
        <f t="shared" si="22"/>
        <v>3.9E-2</v>
      </c>
      <c r="D181" s="27">
        <f t="shared" si="23"/>
        <v>7.8E-2</v>
      </c>
      <c r="E181" s="27">
        <f t="shared" si="24"/>
        <v>0.156</v>
      </c>
      <c r="F181" s="27">
        <f t="shared" si="25"/>
        <v>0.312</v>
      </c>
      <c r="G181" s="27">
        <f t="shared" si="26"/>
        <v>0.39</v>
      </c>
      <c r="H181" s="27">
        <f t="shared" si="27"/>
        <v>0.78</v>
      </c>
      <c r="I181" s="27">
        <f t="shared" si="28"/>
        <v>1.56</v>
      </c>
      <c r="J181" s="27">
        <f t="shared" si="29"/>
        <v>3.12</v>
      </c>
      <c r="K181" s="27">
        <f t="shared" si="30"/>
        <v>3.9</v>
      </c>
      <c r="L181" s="27">
        <f t="shared" si="31"/>
        <v>39</v>
      </c>
      <c r="M181" s="34">
        <f t="shared" si="32"/>
        <v>1078</v>
      </c>
    </row>
    <row r="182" spans="1:13" ht="15" customHeight="1" x14ac:dyDescent="0.3">
      <c r="A182" s="5">
        <v>1079</v>
      </c>
      <c r="B182" s="5">
        <v>79</v>
      </c>
      <c r="C182" s="27">
        <f t="shared" si="22"/>
        <v>3.95E-2</v>
      </c>
      <c r="D182" s="27">
        <f t="shared" si="23"/>
        <v>7.9000000000000001E-2</v>
      </c>
      <c r="E182" s="27">
        <f t="shared" si="24"/>
        <v>0.158</v>
      </c>
      <c r="F182" s="27">
        <f t="shared" si="25"/>
        <v>0.316</v>
      </c>
      <c r="G182" s="27">
        <f t="shared" si="26"/>
        <v>0.39500000000000002</v>
      </c>
      <c r="H182" s="27">
        <f t="shared" si="27"/>
        <v>0.79</v>
      </c>
      <c r="I182" s="27">
        <f t="shared" si="28"/>
        <v>1.58</v>
      </c>
      <c r="J182" s="27">
        <f t="shared" si="29"/>
        <v>3.16</v>
      </c>
      <c r="K182" s="27">
        <f t="shared" si="30"/>
        <v>3.95</v>
      </c>
      <c r="L182" s="27">
        <f t="shared" si="31"/>
        <v>39.5</v>
      </c>
      <c r="M182" s="34">
        <f t="shared" si="32"/>
        <v>1079</v>
      </c>
    </row>
    <row r="183" spans="1:13" ht="15" customHeight="1" x14ac:dyDescent="0.3">
      <c r="A183" s="9">
        <v>1080</v>
      </c>
      <c r="B183" s="5">
        <v>80</v>
      </c>
      <c r="C183" s="15">
        <f t="shared" si="22"/>
        <v>0.04</v>
      </c>
      <c r="D183" s="15">
        <f t="shared" si="23"/>
        <v>0.08</v>
      </c>
      <c r="E183" s="15">
        <f t="shared" si="24"/>
        <v>0.16</v>
      </c>
      <c r="F183" s="15">
        <f t="shared" si="25"/>
        <v>0.32</v>
      </c>
      <c r="G183" s="15">
        <f t="shared" si="26"/>
        <v>0.4</v>
      </c>
      <c r="H183" s="15">
        <f t="shared" si="27"/>
        <v>0.8</v>
      </c>
      <c r="I183" s="15">
        <f t="shared" si="28"/>
        <v>1.6</v>
      </c>
      <c r="J183" s="15">
        <f t="shared" si="29"/>
        <v>3.2</v>
      </c>
      <c r="K183" s="15">
        <f t="shared" si="30"/>
        <v>4</v>
      </c>
      <c r="L183" s="15">
        <f t="shared" si="31"/>
        <v>40</v>
      </c>
      <c r="M183" s="34">
        <f t="shared" si="32"/>
        <v>1080</v>
      </c>
    </row>
    <row r="184" spans="1:13" ht="15" customHeight="1" x14ac:dyDescent="0.3">
      <c r="A184" s="5">
        <v>1081</v>
      </c>
      <c r="B184" s="5">
        <v>81</v>
      </c>
      <c r="C184" s="27">
        <f t="shared" si="22"/>
        <v>4.0500000000000001E-2</v>
      </c>
      <c r="D184" s="27">
        <f t="shared" si="23"/>
        <v>8.1000000000000003E-2</v>
      </c>
      <c r="E184" s="27">
        <f t="shared" si="24"/>
        <v>0.16200000000000001</v>
      </c>
      <c r="F184" s="27">
        <f t="shared" si="25"/>
        <v>0.32400000000000001</v>
      </c>
      <c r="G184" s="27">
        <f t="shared" si="26"/>
        <v>0.40500000000000003</v>
      </c>
      <c r="H184" s="27">
        <f t="shared" si="27"/>
        <v>0.81</v>
      </c>
      <c r="I184" s="27">
        <f t="shared" si="28"/>
        <v>1.62</v>
      </c>
      <c r="J184" s="27">
        <f t="shared" si="29"/>
        <v>3.24</v>
      </c>
      <c r="K184" s="27">
        <f t="shared" si="30"/>
        <v>4.05</v>
      </c>
      <c r="L184" s="27">
        <f t="shared" si="31"/>
        <v>40.5</v>
      </c>
      <c r="M184" s="34">
        <f t="shared" si="32"/>
        <v>1081</v>
      </c>
    </row>
    <row r="185" spans="1:13" ht="15" customHeight="1" x14ac:dyDescent="0.3">
      <c r="A185" s="5">
        <v>1082</v>
      </c>
      <c r="B185" s="5">
        <v>82</v>
      </c>
      <c r="C185" s="27">
        <f t="shared" si="22"/>
        <v>4.1000000000000002E-2</v>
      </c>
      <c r="D185" s="27">
        <f t="shared" si="23"/>
        <v>8.2000000000000003E-2</v>
      </c>
      <c r="E185" s="27">
        <f t="shared" si="24"/>
        <v>0.16400000000000001</v>
      </c>
      <c r="F185" s="27">
        <f t="shared" si="25"/>
        <v>0.32800000000000001</v>
      </c>
      <c r="G185" s="27">
        <f t="shared" si="26"/>
        <v>0.41000000000000003</v>
      </c>
      <c r="H185" s="27">
        <f t="shared" si="27"/>
        <v>0.82000000000000006</v>
      </c>
      <c r="I185" s="27">
        <f t="shared" si="28"/>
        <v>1.6400000000000001</v>
      </c>
      <c r="J185" s="27">
        <f t="shared" si="29"/>
        <v>3.2800000000000002</v>
      </c>
      <c r="K185" s="27">
        <f t="shared" si="30"/>
        <v>4.1000000000000005</v>
      </c>
      <c r="L185" s="27">
        <f t="shared" si="31"/>
        <v>41</v>
      </c>
      <c r="M185" s="34">
        <f t="shared" si="32"/>
        <v>1082</v>
      </c>
    </row>
    <row r="186" spans="1:13" ht="15" customHeight="1" x14ac:dyDescent="0.3">
      <c r="A186" s="5">
        <v>1083</v>
      </c>
      <c r="B186" s="5">
        <v>83</v>
      </c>
      <c r="C186" s="27">
        <f t="shared" si="22"/>
        <v>4.1500000000000002E-2</v>
      </c>
      <c r="D186" s="27">
        <f t="shared" si="23"/>
        <v>8.3000000000000004E-2</v>
      </c>
      <c r="E186" s="27">
        <f t="shared" si="24"/>
        <v>0.16600000000000001</v>
      </c>
      <c r="F186" s="27">
        <f t="shared" si="25"/>
        <v>0.33200000000000002</v>
      </c>
      <c r="G186" s="27">
        <f t="shared" si="26"/>
        <v>0.41500000000000004</v>
      </c>
      <c r="H186" s="27">
        <f t="shared" si="27"/>
        <v>0.83000000000000007</v>
      </c>
      <c r="I186" s="27">
        <f t="shared" si="28"/>
        <v>1.6600000000000001</v>
      </c>
      <c r="J186" s="27">
        <f t="shared" si="29"/>
        <v>3.3200000000000003</v>
      </c>
      <c r="K186" s="27">
        <f t="shared" si="30"/>
        <v>4.1500000000000004</v>
      </c>
      <c r="L186" s="27">
        <f t="shared" si="31"/>
        <v>41.5</v>
      </c>
      <c r="M186" s="34">
        <f t="shared" si="32"/>
        <v>1083</v>
      </c>
    </row>
    <row r="187" spans="1:13" ht="15" customHeight="1" x14ac:dyDescent="0.3">
      <c r="A187" s="5">
        <v>1084</v>
      </c>
      <c r="B187" s="5">
        <v>84</v>
      </c>
      <c r="C187" s="27">
        <f t="shared" si="22"/>
        <v>4.2000000000000003E-2</v>
      </c>
      <c r="D187" s="27">
        <f t="shared" si="23"/>
        <v>8.4000000000000005E-2</v>
      </c>
      <c r="E187" s="27">
        <f t="shared" si="24"/>
        <v>0.16800000000000001</v>
      </c>
      <c r="F187" s="27">
        <f t="shared" si="25"/>
        <v>0.33600000000000002</v>
      </c>
      <c r="G187" s="27">
        <f t="shared" si="26"/>
        <v>0.42000000000000004</v>
      </c>
      <c r="H187" s="27">
        <f t="shared" si="27"/>
        <v>0.84000000000000008</v>
      </c>
      <c r="I187" s="27">
        <f t="shared" si="28"/>
        <v>1.6800000000000002</v>
      </c>
      <c r="J187" s="27">
        <f t="shared" si="29"/>
        <v>3.3600000000000003</v>
      </c>
      <c r="K187" s="27">
        <f t="shared" si="30"/>
        <v>4.2</v>
      </c>
      <c r="L187" s="27">
        <f t="shared" si="31"/>
        <v>42</v>
      </c>
      <c r="M187" s="34">
        <f t="shared" si="32"/>
        <v>1084</v>
      </c>
    </row>
    <row r="188" spans="1:13" ht="15" customHeight="1" x14ac:dyDescent="0.3">
      <c r="A188" s="5">
        <v>1085</v>
      </c>
      <c r="B188" s="5">
        <v>85</v>
      </c>
      <c r="C188" s="27">
        <f t="shared" si="22"/>
        <v>4.2500000000000003E-2</v>
      </c>
      <c r="D188" s="27">
        <f t="shared" si="23"/>
        <v>8.5000000000000006E-2</v>
      </c>
      <c r="E188" s="27">
        <f t="shared" si="24"/>
        <v>0.17</v>
      </c>
      <c r="F188" s="27">
        <f t="shared" si="25"/>
        <v>0.34</v>
      </c>
      <c r="G188" s="27">
        <f t="shared" si="26"/>
        <v>0.42500000000000004</v>
      </c>
      <c r="H188" s="27">
        <f t="shared" si="27"/>
        <v>0.85000000000000009</v>
      </c>
      <c r="I188" s="27">
        <f t="shared" si="28"/>
        <v>1.7000000000000002</v>
      </c>
      <c r="J188" s="27">
        <f t="shared" si="29"/>
        <v>3.4000000000000004</v>
      </c>
      <c r="K188" s="27">
        <f t="shared" si="30"/>
        <v>4.25</v>
      </c>
      <c r="L188" s="27">
        <f t="shared" si="31"/>
        <v>42.5</v>
      </c>
      <c r="M188" s="34">
        <f t="shared" si="32"/>
        <v>1085</v>
      </c>
    </row>
    <row r="189" spans="1:13" ht="15" customHeight="1" x14ac:dyDescent="0.3">
      <c r="A189" s="5">
        <v>1086</v>
      </c>
      <c r="B189" s="5">
        <v>86</v>
      </c>
      <c r="C189" s="27">
        <f t="shared" si="22"/>
        <v>4.2999999999999997E-2</v>
      </c>
      <c r="D189" s="27">
        <f t="shared" si="23"/>
        <v>8.5999999999999993E-2</v>
      </c>
      <c r="E189" s="27">
        <f t="shared" si="24"/>
        <v>0.17199999999999999</v>
      </c>
      <c r="F189" s="27">
        <f t="shared" si="25"/>
        <v>0.34399999999999997</v>
      </c>
      <c r="G189" s="27">
        <f t="shared" si="26"/>
        <v>0.42999999999999994</v>
      </c>
      <c r="H189" s="27">
        <f t="shared" si="27"/>
        <v>0.85999999999999988</v>
      </c>
      <c r="I189" s="27">
        <f t="shared" si="28"/>
        <v>1.7199999999999998</v>
      </c>
      <c r="J189" s="27">
        <f t="shared" si="29"/>
        <v>3.4399999999999995</v>
      </c>
      <c r="K189" s="27">
        <f t="shared" si="30"/>
        <v>4.3</v>
      </c>
      <c r="L189" s="27">
        <f t="shared" si="31"/>
        <v>43</v>
      </c>
      <c r="M189" s="34">
        <f t="shared" si="32"/>
        <v>1086</v>
      </c>
    </row>
    <row r="190" spans="1:13" ht="15" customHeight="1" x14ac:dyDescent="0.3">
      <c r="A190" s="5">
        <v>1087</v>
      </c>
      <c r="B190" s="5">
        <v>87</v>
      </c>
      <c r="C190" s="27">
        <f t="shared" si="22"/>
        <v>4.3499999999999997E-2</v>
      </c>
      <c r="D190" s="27">
        <f t="shared" si="23"/>
        <v>8.6999999999999994E-2</v>
      </c>
      <c r="E190" s="27">
        <f t="shared" si="24"/>
        <v>0.17399999999999999</v>
      </c>
      <c r="F190" s="27">
        <f t="shared" si="25"/>
        <v>0.34799999999999998</v>
      </c>
      <c r="G190" s="27">
        <f t="shared" si="26"/>
        <v>0.43499999999999994</v>
      </c>
      <c r="H190" s="27">
        <f t="shared" si="27"/>
        <v>0.86999999999999988</v>
      </c>
      <c r="I190" s="27">
        <f t="shared" si="28"/>
        <v>1.7399999999999998</v>
      </c>
      <c r="J190" s="27">
        <f t="shared" si="29"/>
        <v>3.4799999999999995</v>
      </c>
      <c r="K190" s="27">
        <f t="shared" si="30"/>
        <v>4.3499999999999996</v>
      </c>
      <c r="L190" s="27">
        <f t="shared" si="31"/>
        <v>43.5</v>
      </c>
      <c r="M190" s="34">
        <f t="shared" si="32"/>
        <v>1087</v>
      </c>
    </row>
    <row r="191" spans="1:13" ht="15" customHeight="1" x14ac:dyDescent="0.3">
      <c r="A191" s="5">
        <v>1088</v>
      </c>
      <c r="B191" s="5">
        <v>88</v>
      </c>
      <c r="C191" s="27">
        <f t="shared" si="22"/>
        <v>4.3999999999999997E-2</v>
      </c>
      <c r="D191" s="27">
        <f t="shared" si="23"/>
        <v>8.7999999999999995E-2</v>
      </c>
      <c r="E191" s="27">
        <f t="shared" si="24"/>
        <v>0.17599999999999999</v>
      </c>
      <c r="F191" s="27">
        <f t="shared" si="25"/>
        <v>0.35199999999999998</v>
      </c>
      <c r="G191" s="27">
        <f t="shared" si="26"/>
        <v>0.43999999999999995</v>
      </c>
      <c r="H191" s="27">
        <f t="shared" si="27"/>
        <v>0.87999999999999989</v>
      </c>
      <c r="I191" s="27">
        <f t="shared" si="28"/>
        <v>1.7599999999999998</v>
      </c>
      <c r="J191" s="27">
        <f t="shared" si="29"/>
        <v>3.5199999999999996</v>
      </c>
      <c r="K191" s="27">
        <f t="shared" si="30"/>
        <v>4.3999999999999995</v>
      </c>
      <c r="L191" s="27">
        <f t="shared" si="31"/>
        <v>44</v>
      </c>
      <c r="M191" s="34">
        <f t="shared" si="32"/>
        <v>1088</v>
      </c>
    </row>
    <row r="192" spans="1:13" ht="15" customHeight="1" x14ac:dyDescent="0.3">
      <c r="A192" s="5">
        <v>1089</v>
      </c>
      <c r="B192" s="5">
        <v>89</v>
      </c>
      <c r="C192" s="27">
        <f t="shared" si="22"/>
        <v>4.4499999999999998E-2</v>
      </c>
      <c r="D192" s="27">
        <f t="shared" si="23"/>
        <v>8.8999999999999996E-2</v>
      </c>
      <c r="E192" s="27">
        <f t="shared" si="24"/>
        <v>0.17799999999999999</v>
      </c>
      <c r="F192" s="27">
        <f t="shared" si="25"/>
        <v>0.35599999999999998</v>
      </c>
      <c r="G192" s="27">
        <f t="shared" si="26"/>
        <v>0.44499999999999995</v>
      </c>
      <c r="H192" s="27">
        <f t="shared" si="27"/>
        <v>0.8899999999999999</v>
      </c>
      <c r="I192" s="27">
        <f t="shared" si="28"/>
        <v>1.7799999999999998</v>
      </c>
      <c r="J192" s="27">
        <f t="shared" si="29"/>
        <v>3.5599999999999996</v>
      </c>
      <c r="K192" s="27">
        <f t="shared" si="30"/>
        <v>4.45</v>
      </c>
      <c r="L192" s="27">
        <f t="shared" si="31"/>
        <v>44.5</v>
      </c>
      <c r="M192" s="34">
        <f t="shared" si="32"/>
        <v>1089</v>
      </c>
    </row>
    <row r="193" spans="1:13" ht="15" customHeight="1" x14ac:dyDescent="0.3">
      <c r="A193" s="9">
        <v>1090</v>
      </c>
      <c r="B193" s="5">
        <v>90</v>
      </c>
      <c r="C193" s="15">
        <f t="shared" si="22"/>
        <v>4.4999999999999998E-2</v>
      </c>
      <c r="D193" s="15">
        <f t="shared" si="23"/>
        <v>0.09</v>
      </c>
      <c r="E193" s="15">
        <f t="shared" si="24"/>
        <v>0.18</v>
      </c>
      <c r="F193" s="15">
        <f t="shared" si="25"/>
        <v>0.36</v>
      </c>
      <c r="G193" s="15">
        <f t="shared" si="26"/>
        <v>0.44999999999999996</v>
      </c>
      <c r="H193" s="15">
        <f t="shared" si="27"/>
        <v>0.89999999999999991</v>
      </c>
      <c r="I193" s="15">
        <f t="shared" si="28"/>
        <v>1.7999999999999998</v>
      </c>
      <c r="J193" s="15">
        <f t="shared" si="29"/>
        <v>3.5999999999999996</v>
      </c>
      <c r="K193" s="15">
        <f t="shared" si="30"/>
        <v>4.5</v>
      </c>
      <c r="L193" s="15">
        <f t="shared" si="31"/>
        <v>45</v>
      </c>
      <c r="M193" s="34">
        <f t="shared" si="32"/>
        <v>1090</v>
      </c>
    </row>
    <row r="194" spans="1:13" ht="15" customHeight="1" x14ac:dyDescent="0.3">
      <c r="A194" s="5">
        <v>1091</v>
      </c>
      <c r="B194" s="5">
        <v>91</v>
      </c>
      <c r="C194" s="27">
        <f t="shared" si="22"/>
        <v>4.5499999999999999E-2</v>
      </c>
      <c r="D194" s="27">
        <f t="shared" si="23"/>
        <v>9.0999999999999998E-2</v>
      </c>
      <c r="E194" s="27">
        <f t="shared" si="24"/>
        <v>0.182</v>
      </c>
      <c r="F194" s="27">
        <f t="shared" si="25"/>
        <v>0.36399999999999999</v>
      </c>
      <c r="G194" s="27">
        <f t="shared" si="26"/>
        <v>0.45499999999999996</v>
      </c>
      <c r="H194" s="27">
        <f t="shared" si="27"/>
        <v>0.90999999999999992</v>
      </c>
      <c r="I194" s="27">
        <f t="shared" si="28"/>
        <v>1.8199999999999998</v>
      </c>
      <c r="J194" s="27">
        <f t="shared" si="29"/>
        <v>3.6399999999999997</v>
      </c>
      <c r="K194" s="27">
        <f t="shared" si="30"/>
        <v>4.55</v>
      </c>
      <c r="L194" s="27">
        <f t="shared" si="31"/>
        <v>45.5</v>
      </c>
      <c r="M194" s="34">
        <f t="shared" si="32"/>
        <v>1091</v>
      </c>
    </row>
    <row r="195" spans="1:13" ht="15" customHeight="1" x14ac:dyDescent="0.3">
      <c r="A195" s="5">
        <v>1092</v>
      </c>
      <c r="B195" s="5">
        <v>92</v>
      </c>
      <c r="C195" s="27">
        <f t="shared" si="22"/>
        <v>4.5999999999999999E-2</v>
      </c>
      <c r="D195" s="27">
        <f t="shared" si="23"/>
        <v>9.1999999999999998E-2</v>
      </c>
      <c r="E195" s="27">
        <f t="shared" si="24"/>
        <v>0.184</v>
      </c>
      <c r="F195" s="27">
        <f t="shared" si="25"/>
        <v>0.36799999999999999</v>
      </c>
      <c r="G195" s="27">
        <f t="shared" si="26"/>
        <v>0.45999999999999996</v>
      </c>
      <c r="H195" s="27">
        <f t="shared" si="27"/>
        <v>0.91999999999999993</v>
      </c>
      <c r="I195" s="27">
        <f t="shared" si="28"/>
        <v>1.8399999999999999</v>
      </c>
      <c r="J195" s="27">
        <f t="shared" si="29"/>
        <v>3.6799999999999997</v>
      </c>
      <c r="K195" s="27">
        <f t="shared" si="30"/>
        <v>4.5999999999999996</v>
      </c>
      <c r="L195" s="27">
        <f t="shared" si="31"/>
        <v>46</v>
      </c>
      <c r="M195" s="34">
        <f t="shared" si="32"/>
        <v>1092</v>
      </c>
    </row>
    <row r="196" spans="1:13" ht="15" customHeight="1" x14ac:dyDescent="0.3">
      <c r="A196" s="5">
        <v>1093</v>
      </c>
      <c r="B196" s="5">
        <v>93</v>
      </c>
      <c r="C196" s="27">
        <f t="shared" ref="C196:C213" si="33">(1/2)*(B196/1000)*1</f>
        <v>4.65E-2</v>
      </c>
      <c r="D196" s="27">
        <f t="shared" ref="D196:D213" si="34">C196*2</f>
        <v>9.2999999999999999E-2</v>
      </c>
      <c r="E196" s="27">
        <f t="shared" ref="E196:E213" si="35">C196*4</f>
        <v>0.186</v>
      </c>
      <c r="F196" s="27">
        <f t="shared" ref="F196:F213" si="36">C196*8</f>
        <v>0.372</v>
      </c>
      <c r="G196" s="27">
        <f t="shared" ref="G196:G213" si="37">C196*10</f>
        <v>0.46499999999999997</v>
      </c>
      <c r="H196" s="27">
        <f t="shared" ref="H196:H213" si="38">C196*20</f>
        <v>0.92999999999999994</v>
      </c>
      <c r="I196" s="27">
        <f t="shared" ref="I196:I213" si="39">C196*40</f>
        <v>1.8599999999999999</v>
      </c>
      <c r="J196" s="27">
        <f t="shared" ref="J196:J213" si="40">C196*80</f>
        <v>3.7199999999999998</v>
      </c>
      <c r="K196" s="27">
        <f t="shared" ref="K196:K213" si="41">C196*100</f>
        <v>4.6500000000000004</v>
      </c>
      <c r="L196" s="27">
        <f t="shared" ref="L196:L213" si="42">C196*1000</f>
        <v>46.5</v>
      </c>
      <c r="M196" s="34">
        <f t="shared" ref="M196:M213" si="43">200*G196+1000</f>
        <v>1093</v>
      </c>
    </row>
    <row r="197" spans="1:13" ht="15" customHeight="1" x14ac:dyDescent="0.3">
      <c r="A197" s="5">
        <v>1094</v>
      </c>
      <c r="B197" s="5">
        <v>94</v>
      </c>
      <c r="C197" s="27">
        <f t="shared" si="33"/>
        <v>4.7E-2</v>
      </c>
      <c r="D197" s="27">
        <f t="shared" si="34"/>
        <v>9.4E-2</v>
      </c>
      <c r="E197" s="27">
        <f t="shared" si="35"/>
        <v>0.188</v>
      </c>
      <c r="F197" s="27">
        <f t="shared" si="36"/>
        <v>0.376</v>
      </c>
      <c r="G197" s="27">
        <f t="shared" si="37"/>
        <v>0.47</v>
      </c>
      <c r="H197" s="27">
        <f t="shared" si="38"/>
        <v>0.94</v>
      </c>
      <c r="I197" s="27">
        <f t="shared" si="39"/>
        <v>1.88</v>
      </c>
      <c r="J197" s="27">
        <f t="shared" si="40"/>
        <v>3.76</v>
      </c>
      <c r="K197" s="27">
        <f t="shared" si="41"/>
        <v>4.7</v>
      </c>
      <c r="L197" s="27">
        <f t="shared" si="42"/>
        <v>47</v>
      </c>
      <c r="M197" s="34">
        <f t="shared" si="43"/>
        <v>1094</v>
      </c>
    </row>
    <row r="198" spans="1:13" ht="15" customHeight="1" x14ac:dyDescent="0.3">
      <c r="A198" s="5">
        <v>1095</v>
      </c>
      <c r="B198" s="5">
        <v>95</v>
      </c>
      <c r="C198" s="27">
        <f t="shared" si="33"/>
        <v>4.7500000000000001E-2</v>
      </c>
      <c r="D198" s="27">
        <f t="shared" si="34"/>
        <v>9.5000000000000001E-2</v>
      </c>
      <c r="E198" s="27">
        <f t="shared" si="35"/>
        <v>0.19</v>
      </c>
      <c r="F198" s="27">
        <f t="shared" si="36"/>
        <v>0.38</v>
      </c>
      <c r="G198" s="27">
        <f t="shared" si="37"/>
        <v>0.47499999999999998</v>
      </c>
      <c r="H198" s="27">
        <f t="shared" si="38"/>
        <v>0.95</v>
      </c>
      <c r="I198" s="27">
        <f t="shared" si="39"/>
        <v>1.9</v>
      </c>
      <c r="J198" s="27">
        <f t="shared" si="40"/>
        <v>3.8</v>
      </c>
      <c r="K198" s="27">
        <f t="shared" si="41"/>
        <v>4.75</v>
      </c>
      <c r="L198" s="27">
        <f t="shared" si="42"/>
        <v>47.5</v>
      </c>
      <c r="M198" s="34">
        <f t="shared" si="43"/>
        <v>1095</v>
      </c>
    </row>
    <row r="199" spans="1:13" ht="15" customHeight="1" x14ac:dyDescent="0.3">
      <c r="A199" s="5">
        <v>1096</v>
      </c>
      <c r="B199" s="5">
        <v>96</v>
      </c>
      <c r="C199" s="27">
        <f t="shared" si="33"/>
        <v>4.8000000000000001E-2</v>
      </c>
      <c r="D199" s="27">
        <f t="shared" si="34"/>
        <v>9.6000000000000002E-2</v>
      </c>
      <c r="E199" s="27">
        <f t="shared" si="35"/>
        <v>0.192</v>
      </c>
      <c r="F199" s="27">
        <f t="shared" si="36"/>
        <v>0.38400000000000001</v>
      </c>
      <c r="G199" s="27">
        <f t="shared" si="37"/>
        <v>0.48</v>
      </c>
      <c r="H199" s="27">
        <f t="shared" si="38"/>
        <v>0.96</v>
      </c>
      <c r="I199" s="27">
        <f t="shared" si="39"/>
        <v>1.92</v>
      </c>
      <c r="J199" s="27">
        <f t="shared" si="40"/>
        <v>3.84</v>
      </c>
      <c r="K199" s="27">
        <f t="shared" si="41"/>
        <v>4.8</v>
      </c>
      <c r="L199" s="27">
        <f t="shared" si="42"/>
        <v>48</v>
      </c>
      <c r="M199" s="34">
        <f t="shared" si="43"/>
        <v>1096</v>
      </c>
    </row>
    <row r="200" spans="1:13" ht="15" customHeight="1" x14ac:dyDescent="0.3">
      <c r="A200" s="5">
        <v>1097</v>
      </c>
      <c r="B200" s="5">
        <v>97</v>
      </c>
      <c r="C200" s="27">
        <f t="shared" si="33"/>
        <v>4.8500000000000001E-2</v>
      </c>
      <c r="D200" s="27">
        <f t="shared" si="34"/>
        <v>9.7000000000000003E-2</v>
      </c>
      <c r="E200" s="27">
        <f t="shared" si="35"/>
        <v>0.19400000000000001</v>
      </c>
      <c r="F200" s="27">
        <f t="shared" si="36"/>
        <v>0.38800000000000001</v>
      </c>
      <c r="G200" s="27">
        <f t="shared" si="37"/>
        <v>0.48499999999999999</v>
      </c>
      <c r="H200" s="27">
        <f t="shared" si="38"/>
        <v>0.97</v>
      </c>
      <c r="I200" s="27">
        <f t="shared" si="39"/>
        <v>1.94</v>
      </c>
      <c r="J200" s="27">
        <f t="shared" si="40"/>
        <v>3.88</v>
      </c>
      <c r="K200" s="27">
        <f t="shared" si="41"/>
        <v>4.8500000000000005</v>
      </c>
      <c r="L200" s="27">
        <f t="shared" si="42"/>
        <v>48.5</v>
      </c>
      <c r="M200" s="34">
        <f t="shared" si="43"/>
        <v>1097</v>
      </c>
    </row>
    <row r="201" spans="1:13" ht="15" customHeight="1" x14ac:dyDescent="0.3">
      <c r="A201" s="5">
        <v>1098</v>
      </c>
      <c r="B201" s="5">
        <v>98</v>
      </c>
      <c r="C201" s="27">
        <f t="shared" si="33"/>
        <v>4.9000000000000002E-2</v>
      </c>
      <c r="D201" s="27">
        <f t="shared" si="34"/>
        <v>9.8000000000000004E-2</v>
      </c>
      <c r="E201" s="27">
        <f t="shared" si="35"/>
        <v>0.19600000000000001</v>
      </c>
      <c r="F201" s="27">
        <f t="shared" si="36"/>
        <v>0.39200000000000002</v>
      </c>
      <c r="G201" s="27">
        <f t="shared" si="37"/>
        <v>0.49</v>
      </c>
      <c r="H201" s="27">
        <f t="shared" si="38"/>
        <v>0.98</v>
      </c>
      <c r="I201" s="27">
        <f t="shared" si="39"/>
        <v>1.96</v>
      </c>
      <c r="J201" s="27">
        <f t="shared" si="40"/>
        <v>3.92</v>
      </c>
      <c r="K201" s="27">
        <f t="shared" si="41"/>
        <v>4.9000000000000004</v>
      </c>
      <c r="L201" s="27">
        <f t="shared" si="42"/>
        <v>49</v>
      </c>
      <c r="M201" s="34">
        <f t="shared" si="43"/>
        <v>1098</v>
      </c>
    </row>
    <row r="202" spans="1:13" ht="15" customHeight="1" x14ac:dyDescent="0.3">
      <c r="A202" s="5">
        <v>1099</v>
      </c>
      <c r="B202" s="5">
        <v>99</v>
      </c>
      <c r="C202" s="27">
        <f t="shared" si="33"/>
        <v>4.9500000000000002E-2</v>
      </c>
      <c r="D202" s="27">
        <f t="shared" si="34"/>
        <v>9.9000000000000005E-2</v>
      </c>
      <c r="E202" s="27">
        <f t="shared" si="35"/>
        <v>0.19800000000000001</v>
      </c>
      <c r="F202" s="27">
        <f t="shared" si="36"/>
        <v>0.39600000000000002</v>
      </c>
      <c r="G202" s="27">
        <f t="shared" si="37"/>
        <v>0.495</v>
      </c>
      <c r="H202" s="27">
        <f t="shared" si="38"/>
        <v>0.99</v>
      </c>
      <c r="I202" s="27">
        <f t="shared" si="39"/>
        <v>1.98</v>
      </c>
      <c r="J202" s="27">
        <f t="shared" si="40"/>
        <v>3.96</v>
      </c>
      <c r="K202" s="27">
        <f t="shared" si="41"/>
        <v>4.95</v>
      </c>
      <c r="L202" s="27">
        <f t="shared" si="42"/>
        <v>49.5</v>
      </c>
      <c r="M202" s="34">
        <f t="shared" si="43"/>
        <v>1099</v>
      </c>
    </row>
    <row r="203" spans="1:13" ht="15" customHeight="1" x14ac:dyDescent="0.3">
      <c r="A203" s="9">
        <v>1100</v>
      </c>
      <c r="B203" s="5">
        <v>100</v>
      </c>
      <c r="C203" s="15">
        <f t="shared" si="33"/>
        <v>0.05</v>
      </c>
      <c r="D203" s="15">
        <f t="shared" si="34"/>
        <v>0.1</v>
      </c>
      <c r="E203" s="15">
        <f t="shared" si="35"/>
        <v>0.2</v>
      </c>
      <c r="F203" s="15">
        <f t="shared" si="36"/>
        <v>0.4</v>
      </c>
      <c r="G203" s="15">
        <f t="shared" si="37"/>
        <v>0.5</v>
      </c>
      <c r="H203" s="15">
        <f t="shared" si="38"/>
        <v>1</v>
      </c>
      <c r="I203" s="15">
        <f t="shared" si="39"/>
        <v>2</v>
      </c>
      <c r="J203" s="15">
        <f t="shared" si="40"/>
        <v>4</v>
      </c>
      <c r="K203" s="15">
        <f t="shared" si="41"/>
        <v>5</v>
      </c>
      <c r="L203" s="15">
        <f t="shared" si="42"/>
        <v>50</v>
      </c>
      <c r="M203" s="34">
        <f t="shared" si="43"/>
        <v>1100</v>
      </c>
    </row>
    <row r="204" spans="1:13" ht="15" customHeight="1" x14ac:dyDescent="0.3">
      <c r="A204" s="5">
        <v>1101</v>
      </c>
      <c r="B204" s="5">
        <v>101</v>
      </c>
      <c r="C204" s="27">
        <f t="shared" si="33"/>
        <v>5.0500000000000003E-2</v>
      </c>
      <c r="D204" s="27">
        <f t="shared" si="34"/>
        <v>0.10100000000000001</v>
      </c>
      <c r="E204" s="27">
        <f t="shared" si="35"/>
        <v>0.20200000000000001</v>
      </c>
      <c r="F204" s="27">
        <f t="shared" si="36"/>
        <v>0.40400000000000003</v>
      </c>
      <c r="G204" s="27">
        <f t="shared" si="37"/>
        <v>0.505</v>
      </c>
      <c r="H204" s="27">
        <f t="shared" si="38"/>
        <v>1.01</v>
      </c>
      <c r="I204" s="27">
        <f t="shared" si="39"/>
        <v>2.02</v>
      </c>
      <c r="J204" s="27">
        <f t="shared" si="40"/>
        <v>4.04</v>
      </c>
      <c r="K204" s="27">
        <f t="shared" si="41"/>
        <v>5.0500000000000007</v>
      </c>
      <c r="L204" s="27">
        <f t="shared" si="42"/>
        <v>50.5</v>
      </c>
      <c r="M204" s="34">
        <f t="shared" si="43"/>
        <v>1101</v>
      </c>
    </row>
    <row r="205" spans="1:13" ht="15" customHeight="1" x14ac:dyDescent="0.3">
      <c r="A205" s="5">
        <v>1102</v>
      </c>
      <c r="B205" s="5">
        <v>102</v>
      </c>
      <c r="C205" s="27">
        <f t="shared" si="33"/>
        <v>5.0999999999999997E-2</v>
      </c>
      <c r="D205" s="27">
        <f t="shared" si="34"/>
        <v>0.10199999999999999</v>
      </c>
      <c r="E205" s="27">
        <f t="shared" si="35"/>
        <v>0.20399999999999999</v>
      </c>
      <c r="F205" s="27">
        <f t="shared" si="36"/>
        <v>0.40799999999999997</v>
      </c>
      <c r="G205" s="27">
        <f t="shared" si="37"/>
        <v>0.51</v>
      </c>
      <c r="H205" s="27">
        <f t="shared" si="38"/>
        <v>1.02</v>
      </c>
      <c r="I205" s="27">
        <f t="shared" si="39"/>
        <v>2.04</v>
      </c>
      <c r="J205" s="27">
        <f t="shared" si="40"/>
        <v>4.08</v>
      </c>
      <c r="K205" s="27">
        <f t="shared" si="41"/>
        <v>5.0999999999999996</v>
      </c>
      <c r="L205" s="27">
        <f t="shared" si="42"/>
        <v>51</v>
      </c>
      <c r="M205" s="34">
        <f t="shared" si="43"/>
        <v>1102</v>
      </c>
    </row>
    <row r="206" spans="1:13" ht="15" customHeight="1" x14ac:dyDescent="0.3">
      <c r="A206" s="5">
        <v>1103</v>
      </c>
      <c r="B206" s="5">
        <v>103</v>
      </c>
      <c r="C206" s="27">
        <f t="shared" si="33"/>
        <v>5.1499999999999997E-2</v>
      </c>
      <c r="D206" s="27">
        <f t="shared" si="34"/>
        <v>0.10299999999999999</v>
      </c>
      <c r="E206" s="27">
        <f t="shared" si="35"/>
        <v>0.20599999999999999</v>
      </c>
      <c r="F206" s="27">
        <f t="shared" si="36"/>
        <v>0.41199999999999998</v>
      </c>
      <c r="G206" s="27">
        <f t="shared" si="37"/>
        <v>0.51500000000000001</v>
      </c>
      <c r="H206" s="27">
        <f t="shared" si="38"/>
        <v>1.03</v>
      </c>
      <c r="I206" s="27">
        <f t="shared" si="39"/>
        <v>2.06</v>
      </c>
      <c r="J206" s="27">
        <f t="shared" si="40"/>
        <v>4.12</v>
      </c>
      <c r="K206" s="27">
        <f t="shared" si="41"/>
        <v>5.1499999999999995</v>
      </c>
      <c r="L206" s="27">
        <f t="shared" si="42"/>
        <v>51.5</v>
      </c>
      <c r="M206" s="34">
        <f t="shared" si="43"/>
        <v>1103</v>
      </c>
    </row>
    <row r="207" spans="1:13" ht="15" customHeight="1" x14ac:dyDescent="0.3">
      <c r="A207" s="5">
        <v>1104</v>
      </c>
      <c r="B207" s="5">
        <v>104</v>
      </c>
      <c r="C207" s="27">
        <f t="shared" si="33"/>
        <v>5.1999999999999998E-2</v>
      </c>
      <c r="D207" s="27">
        <f t="shared" si="34"/>
        <v>0.104</v>
      </c>
      <c r="E207" s="27">
        <f t="shared" si="35"/>
        <v>0.20799999999999999</v>
      </c>
      <c r="F207" s="27">
        <f t="shared" si="36"/>
        <v>0.41599999999999998</v>
      </c>
      <c r="G207" s="27">
        <f t="shared" si="37"/>
        <v>0.52</v>
      </c>
      <c r="H207" s="27">
        <f t="shared" si="38"/>
        <v>1.04</v>
      </c>
      <c r="I207" s="27">
        <f t="shared" si="39"/>
        <v>2.08</v>
      </c>
      <c r="J207" s="27">
        <f t="shared" si="40"/>
        <v>4.16</v>
      </c>
      <c r="K207" s="27">
        <f t="shared" si="41"/>
        <v>5.2</v>
      </c>
      <c r="L207" s="27">
        <f t="shared" si="42"/>
        <v>52</v>
      </c>
      <c r="M207" s="34">
        <f t="shared" si="43"/>
        <v>1104</v>
      </c>
    </row>
    <row r="208" spans="1:13" ht="15" customHeight="1" x14ac:dyDescent="0.3">
      <c r="A208" s="5">
        <v>1105</v>
      </c>
      <c r="B208" s="5">
        <v>105</v>
      </c>
      <c r="C208" s="27">
        <f t="shared" si="33"/>
        <v>5.2499999999999998E-2</v>
      </c>
      <c r="D208" s="27">
        <f t="shared" si="34"/>
        <v>0.105</v>
      </c>
      <c r="E208" s="27">
        <f t="shared" si="35"/>
        <v>0.21</v>
      </c>
      <c r="F208" s="27">
        <f t="shared" si="36"/>
        <v>0.42</v>
      </c>
      <c r="G208" s="27">
        <f t="shared" si="37"/>
        <v>0.52500000000000002</v>
      </c>
      <c r="H208" s="27">
        <f t="shared" si="38"/>
        <v>1.05</v>
      </c>
      <c r="I208" s="27">
        <f t="shared" si="39"/>
        <v>2.1</v>
      </c>
      <c r="J208" s="27">
        <f t="shared" si="40"/>
        <v>4.2</v>
      </c>
      <c r="K208" s="27">
        <f t="shared" si="41"/>
        <v>5.25</v>
      </c>
      <c r="L208" s="27">
        <f t="shared" si="42"/>
        <v>52.5</v>
      </c>
      <c r="M208" s="34">
        <f t="shared" si="43"/>
        <v>1105</v>
      </c>
    </row>
    <row r="209" spans="1:13" ht="15" customHeight="1" x14ac:dyDescent="0.3">
      <c r="A209" s="5">
        <v>1106</v>
      </c>
      <c r="B209" s="5">
        <v>106</v>
      </c>
      <c r="C209" s="27">
        <f t="shared" si="33"/>
        <v>5.2999999999999999E-2</v>
      </c>
      <c r="D209" s="27">
        <f t="shared" si="34"/>
        <v>0.106</v>
      </c>
      <c r="E209" s="27">
        <f t="shared" si="35"/>
        <v>0.21199999999999999</v>
      </c>
      <c r="F209" s="27">
        <f t="shared" si="36"/>
        <v>0.42399999999999999</v>
      </c>
      <c r="G209" s="27">
        <f t="shared" si="37"/>
        <v>0.53</v>
      </c>
      <c r="H209" s="27">
        <f t="shared" si="38"/>
        <v>1.06</v>
      </c>
      <c r="I209" s="27">
        <f t="shared" si="39"/>
        <v>2.12</v>
      </c>
      <c r="J209" s="27">
        <f t="shared" si="40"/>
        <v>4.24</v>
      </c>
      <c r="K209" s="27">
        <f t="shared" si="41"/>
        <v>5.3</v>
      </c>
      <c r="L209" s="27">
        <f t="shared" si="42"/>
        <v>53</v>
      </c>
      <c r="M209" s="34">
        <f t="shared" si="43"/>
        <v>1106</v>
      </c>
    </row>
    <row r="210" spans="1:13" ht="15" customHeight="1" x14ac:dyDescent="0.3">
      <c r="A210" s="5">
        <v>1107</v>
      </c>
      <c r="B210" s="5">
        <v>107</v>
      </c>
      <c r="C210" s="27">
        <f t="shared" si="33"/>
        <v>5.3499999999999999E-2</v>
      </c>
      <c r="D210" s="27">
        <f t="shared" si="34"/>
        <v>0.107</v>
      </c>
      <c r="E210" s="27">
        <f t="shared" si="35"/>
        <v>0.214</v>
      </c>
      <c r="F210" s="27">
        <f t="shared" si="36"/>
        <v>0.42799999999999999</v>
      </c>
      <c r="G210" s="27">
        <f t="shared" si="37"/>
        <v>0.53500000000000003</v>
      </c>
      <c r="H210" s="27">
        <f t="shared" si="38"/>
        <v>1.07</v>
      </c>
      <c r="I210" s="27">
        <f t="shared" si="39"/>
        <v>2.14</v>
      </c>
      <c r="J210" s="27">
        <f t="shared" si="40"/>
        <v>4.28</v>
      </c>
      <c r="K210" s="27">
        <f t="shared" si="41"/>
        <v>5.35</v>
      </c>
      <c r="L210" s="27">
        <f t="shared" si="42"/>
        <v>53.5</v>
      </c>
      <c r="M210" s="34">
        <f t="shared" si="43"/>
        <v>1107</v>
      </c>
    </row>
    <row r="211" spans="1:13" ht="15" customHeight="1" x14ac:dyDescent="0.3">
      <c r="A211" s="5">
        <v>1108</v>
      </c>
      <c r="B211" s="5">
        <v>108</v>
      </c>
      <c r="C211" s="27">
        <f t="shared" si="33"/>
        <v>5.3999999999999999E-2</v>
      </c>
      <c r="D211" s="27">
        <f t="shared" si="34"/>
        <v>0.108</v>
      </c>
      <c r="E211" s="27">
        <f t="shared" si="35"/>
        <v>0.216</v>
      </c>
      <c r="F211" s="27">
        <f t="shared" si="36"/>
        <v>0.432</v>
      </c>
      <c r="G211" s="27">
        <f t="shared" si="37"/>
        <v>0.54</v>
      </c>
      <c r="H211" s="27">
        <f t="shared" si="38"/>
        <v>1.08</v>
      </c>
      <c r="I211" s="27">
        <f t="shared" si="39"/>
        <v>2.16</v>
      </c>
      <c r="J211" s="27">
        <f t="shared" si="40"/>
        <v>4.32</v>
      </c>
      <c r="K211" s="27">
        <f t="shared" si="41"/>
        <v>5.4</v>
      </c>
      <c r="L211" s="27">
        <f t="shared" si="42"/>
        <v>54</v>
      </c>
      <c r="M211" s="34">
        <f t="shared" si="43"/>
        <v>1108</v>
      </c>
    </row>
    <row r="212" spans="1:13" ht="15" customHeight="1" x14ac:dyDescent="0.3">
      <c r="A212" s="5">
        <v>1109</v>
      </c>
      <c r="B212" s="5">
        <v>109</v>
      </c>
      <c r="C212" s="27">
        <f t="shared" si="33"/>
        <v>5.45E-2</v>
      </c>
      <c r="D212" s="27">
        <f t="shared" si="34"/>
        <v>0.109</v>
      </c>
      <c r="E212" s="27">
        <f t="shared" si="35"/>
        <v>0.218</v>
      </c>
      <c r="F212" s="27">
        <f t="shared" si="36"/>
        <v>0.436</v>
      </c>
      <c r="G212" s="27">
        <f t="shared" si="37"/>
        <v>0.54500000000000004</v>
      </c>
      <c r="H212" s="27">
        <f t="shared" si="38"/>
        <v>1.0900000000000001</v>
      </c>
      <c r="I212" s="27">
        <f t="shared" si="39"/>
        <v>2.1800000000000002</v>
      </c>
      <c r="J212" s="27">
        <f t="shared" si="40"/>
        <v>4.3600000000000003</v>
      </c>
      <c r="K212" s="27">
        <f t="shared" si="41"/>
        <v>5.45</v>
      </c>
      <c r="L212" s="27">
        <f t="shared" si="42"/>
        <v>54.5</v>
      </c>
      <c r="M212" s="34">
        <f t="shared" si="43"/>
        <v>1109</v>
      </c>
    </row>
    <row r="213" spans="1:13" ht="15" customHeight="1" x14ac:dyDescent="0.3">
      <c r="A213" s="9">
        <v>1110</v>
      </c>
      <c r="B213" s="5">
        <v>110</v>
      </c>
      <c r="C213" s="15">
        <f t="shared" si="33"/>
        <v>5.5E-2</v>
      </c>
      <c r="D213" s="15">
        <f t="shared" si="34"/>
        <v>0.11</v>
      </c>
      <c r="E213" s="15">
        <f t="shared" si="35"/>
        <v>0.22</v>
      </c>
      <c r="F213" s="15">
        <f t="shared" si="36"/>
        <v>0.44</v>
      </c>
      <c r="G213" s="15">
        <f t="shared" si="37"/>
        <v>0.55000000000000004</v>
      </c>
      <c r="H213" s="15">
        <f t="shared" si="38"/>
        <v>1.1000000000000001</v>
      </c>
      <c r="I213" s="15">
        <f t="shared" si="39"/>
        <v>2.2000000000000002</v>
      </c>
      <c r="J213" s="15">
        <f t="shared" si="40"/>
        <v>4.4000000000000004</v>
      </c>
      <c r="K213" s="15">
        <f t="shared" si="41"/>
        <v>5.5</v>
      </c>
      <c r="L213" s="15">
        <f t="shared" si="42"/>
        <v>55</v>
      </c>
      <c r="M213" s="34">
        <f t="shared" si="43"/>
        <v>1110</v>
      </c>
    </row>
  </sheetData>
  <mergeCells count="1">
    <mergeCell ref="A1:J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F195-BF19-486B-8B8F-C10D5276B4D6}">
  <dimension ref="A1:M53"/>
  <sheetViews>
    <sheetView view="pageBreakPreview" zoomScaleNormal="100" zoomScaleSheetLayoutView="100" workbookViewId="0">
      <selection activeCell="M3" sqref="M3:M53"/>
    </sheetView>
  </sheetViews>
  <sheetFormatPr defaultRowHeight="15" customHeight="1" x14ac:dyDescent="0.3"/>
  <cols>
    <col min="1" max="2" width="10.125" style="8" customWidth="1"/>
    <col min="3" max="3" width="9" style="13"/>
    <col min="4" max="10" width="9" style="6"/>
    <col min="11" max="11" width="9.125" style="6" bestFit="1" customWidth="1"/>
    <col min="12" max="13" width="9.375" style="6" bestFit="1" customWidth="1"/>
    <col min="14" max="16384" width="9" style="6"/>
  </cols>
  <sheetData>
    <row r="1" spans="1:13" ht="24.95" customHeight="1" x14ac:dyDescent="0.3">
      <c r="A1" s="33" t="s">
        <v>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3" ht="30.75" customHeight="1" x14ac:dyDescent="0.3">
      <c r="A2" s="11" t="s">
        <v>0</v>
      </c>
      <c r="B2" s="12"/>
      <c r="C2" s="16">
        <v>1</v>
      </c>
      <c r="D2" s="5">
        <v>2</v>
      </c>
      <c r="E2" s="5">
        <v>4</v>
      </c>
      <c r="F2" s="5">
        <v>8</v>
      </c>
      <c r="G2" s="5">
        <v>10</v>
      </c>
      <c r="H2" s="5">
        <v>20</v>
      </c>
      <c r="I2" s="5">
        <v>40</v>
      </c>
      <c r="J2" s="5">
        <v>80</v>
      </c>
      <c r="K2" s="18">
        <v>100</v>
      </c>
      <c r="L2" s="18">
        <v>1000</v>
      </c>
      <c r="M2" s="18">
        <v>10</v>
      </c>
    </row>
    <row r="3" spans="1:13" ht="15" customHeight="1" x14ac:dyDescent="0.3">
      <c r="A3" s="5">
        <v>75</v>
      </c>
      <c r="B3" s="5">
        <v>-25</v>
      </c>
      <c r="C3" s="17">
        <f>(0.1/2)*(B3/100)*1</f>
        <v>-1.2500000000000001E-2</v>
      </c>
      <c r="D3" s="14">
        <f>C3*2</f>
        <v>-2.5000000000000001E-2</v>
      </c>
      <c r="E3" s="14">
        <f>C3*4</f>
        <v>-0.05</v>
      </c>
      <c r="F3" s="14">
        <f>C3*8</f>
        <v>-0.1</v>
      </c>
      <c r="G3" s="14">
        <f>C3*10</f>
        <v>-0.125</v>
      </c>
      <c r="H3" s="14">
        <f>C3*20</f>
        <v>-0.25</v>
      </c>
      <c r="I3" s="14">
        <f>C3*40</f>
        <v>-0.5</v>
      </c>
      <c r="J3" s="14">
        <f>C3*80</f>
        <v>-1</v>
      </c>
      <c r="K3" s="14">
        <f>C3*100</f>
        <v>-1.25</v>
      </c>
      <c r="L3" s="14">
        <f>C3*1000</f>
        <v>-12.5</v>
      </c>
      <c r="M3" s="14">
        <f>G3*200+100</f>
        <v>75</v>
      </c>
    </row>
    <row r="4" spans="1:13" ht="15" customHeight="1" x14ac:dyDescent="0.3">
      <c r="A4" s="5">
        <v>76</v>
      </c>
      <c r="B4" s="5">
        <v>-24</v>
      </c>
      <c r="C4" s="17">
        <f t="shared" ref="C4:C53" si="0">(0.1/2)*(B4/100)*1</f>
        <v>-1.2E-2</v>
      </c>
      <c r="D4" s="14">
        <f t="shared" ref="D4:D53" si="1">C4*2</f>
        <v>-2.4E-2</v>
      </c>
      <c r="E4" s="14">
        <f t="shared" ref="E4:E53" si="2">C4*4</f>
        <v>-4.8000000000000001E-2</v>
      </c>
      <c r="F4" s="14">
        <f t="shared" ref="F4:F53" si="3">C4*8</f>
        <v>-9.6000000000000002E-2</v>
      </c>
      <c r="G4" s="14">
        <f t="shared" ref="G4:G53" si="4">C4*10</f>
        <v>-0.12</v>
      </c>
      <c r="H4" s="14">
        <f t="shared" ref="H4:H53" si="5">C4*20</f>
        <v>-0.24</v>
      </c>
      <c r="I4" s="14">
        <f t="shared" ref="I4:I53" si="6">C4*40</f>
        <v>-0.48</v>
      </c>
      <c r="J4" s="14">
        <f t="shared" ref="J4:J53" si="7">C4*80</f>
        <v>-0.96</v>
      </c>
      <c r="K4" s="14">
        <f t="shared" ref="K4:K53" si="8">C4*100</f>
        <v>-1.2</v>
      </c>
      <c r="L4" s="14">
        <f t="shared" ref="L4:M53" si="9">C4*1000</f>
        <v>-12</v>
      </c>
      <c r="M4" s="14">
        <f t="shared" ref="M4:M53" si="10">G4*200+100</f>
        <v>76</v>
      </c>
    </row>
    <row r="5" spans="1:13" ht="15" customHeight="1" x14ac:dyDescent="0.3">
      <c r="A5" s="5">
        <v>77</v>
      </c>
      <c r="B5" s="5">
        <v>-23</v>
      </c>
      <c r="C5" s="17">
        <f t="shared" si="0"/>
        <v>-1.1500000000000002E-2</v>
      </c>
      <c r="D5" s="14">
        <f t="shared" si="1"/>
        <v>-2.3000000000000003E-2</v>
      </c>
      <c r="E5" s="14">
        <f t="shared" si="2"/>
        <v>-4.6000000000000006E-2</v>
      </c>
      <c r="F5" s="14">
        <f t="shared" si="3"/>
        <v>-9.2000000000000012E-2</v>
      </c>
      <c r="G5" s="14">
        <f t="shared" si="4"/>
        <v>-0.11500000000000002</v>
      </c>
      <c r="H5" s="14">
        <f t="shared" si="5"/>
        <v>-0.23000000000000004</v>
      </c>
      <c r="I5" s="14">
        <f t="shared" si="6"/>
        <v>-0.46000000000000008</v>
      </c>
      <c r="J5" s="14">
        <f t="shared" si="7"/>
        <v>-0.92000000000000015</v>
      </c>
      <c r="K5" s="14">
        <f t="shared" si="8"/>
        <v>-1.1500000000000001</v>
      </c>
      <c r="L5" s="14">
        <f t="shared" si="9"/>
        <v>-11.500000000000002</v>
      </c>
      <c r="M5" s="14">
        <f t="shared" si="10"/>
        <v>77</v>
      </c>
    </row>
    <row r="6" spans="1:13" ht="15" customHeight="1" x14ac:dyDescent="0.3">
      <c r="A6" s="5">
        <v>78</v>
      </c>
      <c r="B6" s="5">
        <v>-22</v>
      </c>
      <c r="C6" s="17">
        <f t="shared" si="0"/>
        <v>-1.1000000000000001E-2</v>
      </c>
      <c r="D6" s="14">
        <f t="shared" si="1"/>
        <v>-2.2000000000000002E-2</v>
      </c>
      <c r="E6" s="14">
        <f t="shared" si="2"/>
        <v>-4.4000000000000004E-2</v>
      </c>
      <c r="F6" s="14">
        <f t="shared" si="3"/>
        <v>-8.8000000000000009E-2</v>
      </c>
      <c r="G6" s="14">
        <f t="shared" si="4"/>
        <v>-0.11000000000000001</v>
      </c>
      <c r="H6" s="14">
        <f t="shared" si="5"/>
        <v>-0.22000000000000003</v>
      </c>
      <c r="I6" s="14">
        <f t="shared" si="6"/>
        <v>-0.44000000000000006</v>
      </c>
      <c r="J6" s="14">
        <f t="shared" si="7"/>
        <v>-0.88000000000000012</v>
      </c>
      <c r="K6" s="14">
        <f t="shared" si="8"/>
        <v>-1.1000000000000001</v>
      </c>
      <c r="L6" s="14">
        <f t="shared" si="9"/>
        <v>-11.000000000000002</v>
      </c>
      <c r="M6" s="14">
        <f t="shared" si="10"/>
        <v>78</v>
      </c>
    </row>
    <row r="7" spans="1:13" ht="15" customHeight="1" x14ac:dyDescent="0.3">
      <c r="A7" s="5">
        <v>79</v>
      </c>
      <c r="B7" s="5">
        <v>-21</v>
      </c>
      <c r="C7" s="17">
        <f t="shared" si="0"/>
        <v>-1.0500000000000001E-2</v>
      </c>
      <c r="D7" s="14">
        <f t="shared" si="1"/>
        <v>-2.1000000000000001E-2</v>
      </c>
      <c r="E7" s="14">
        <f t="shared" si="2"/>
        <v>-4.2000000000000003E-2</v>
      </c>
      <c r="F7" s="14">
        <f t="shared" si="3"/>
        <v>-8.4000000000000005E-2</v>
      </c>
      <c r="G7" s="14">
        <f t="shared" si="4"/>
        <v>-0.10500000000000001</v>
      </c>
      <c r="H7" s="14">
        <f t="shared" si="5"/>
        <v>-0.21000000000000002</v>
      </c>
      <c r="I7" s="14">
        <f t="shared" si="6"/>
        <v>-0.42000000000000004</v>
      </c>
      <c r="J7" s="14">
        <f t="shared" si="7"/>
        <v>-0.84000000000000008</v>
      </c>
      <c r="K7" s="14">
        <f t="shared" si="8"/>
        <v>-1.05</v>
      </c>
      <c r="L7" s="14">
        <f t="shared" si="9"/>
        <v>-10.5</v>
      </c>
      <c r="M7" s="14">
        <f t="shared" si="10"/>
        <v>79</v>
      </c>
    </row>
    <row r="8" spans="1:13" ht="15" customHeight="1" x14ac:dyDescent="0.3">
      <c r="A8" s="7">
        <v>80</v>
      </c>
      <c r="B8" s="5">
        <v>-20</v>
      </c>
      <c r="C8" s="20">
        <f t="shared" si="0"/>
        <v>-1.0000000000000002E-2</v>
      </c>
      <c r="D8" s="15">
        <f t="shared" si="1"/>
        <v>-2.0000000000000004E-2</v>
      </c>
      <c r="E8" s="15">
        <f t="shared" si="2"/>
        <v>-4.0000000000000008E-2</v>
      </c>
      <c r="F8" s="15">
        <f t="shared" si="3"/>
        <v>-8.0000000000000016E-2</v>
      </c>
      <c r="G8" s="15">
        <f t="shared" si="4"/>
        <v>-0.10000000000000002</v>
      </c>
      <c r="H8" s="15">
        <f t="shared" si="5"/>
        <v>-0.20000000000000004</v>
      </c>
      <c r="I8" s="15">
        <f t="shared" si="6"/>
        <v>-0.40000000000000008</v>
      </c>
      <c r="J8" s="15">
        <f t="shared" si="7"/>
        <v>-0.80000000000000016</v>
      </c>
      <c r="K8" s="15">
        <f t="shared" si="8"/>
        <v>-1.0000000000000002</v>
      </c>
      <c r="L8" s="15">
        <f t="shared" si="9"/>
        <v>-10.000000000000002</v>
      </c>
      <c r="M8" s="14">
        <f t="shared" si="10"/>
        <v>80</v>
      </c>
    </row>
    <row r="9" spans="1:13" ht="15" customHeight="1" x14ac:dyDescent="0.3">
      <c r="A9" s="5">
        <v>81</v>
      </c>
      <c r="B9" s="5">
        <v>-19</v>
      </c>
      <c r="C9" s="17">
        <f t="shared" si="0"/>
        <v>-9.5000000000000015E-3</v>
      </c>
      <c r="D9" s="14">
        <f t="shared" si="1"/>
        <v>-1.9000000000000003E-2</v>
      </c>
      <c r="E9" s="14">
        <f t="shared" si="2"/>
        <v>-3.8000000000000006E-2</v>
      </c>
      <c r="F9" s="14">
        <f t="shared" si="3"/>
        <v>-7.6000000000000012E-2</v>
      </c>
      <c r="G9" s="14">
        <f t="shared" si="4"/>
        <v>-9.5000000000000015E-2</v>
      </c>
      <c r="H9" s="14">
        <f t="shared" si="5"/>
        <v>-0.19000000000000003</v>
      </c>
      <c r="I9" s="14">
        <f t="shared" si="6"/>
        <v>-0.38000000000000006</v>
      </c>
      <c r="J9" s="14">
        <f t="shared" si="7"/>
        <v>-0.76000000000000012</v>
      </c>
      <c r="K9" s="14">
        <f t="shared" si="8"/>
        <v>-0.95000000000000018</v>
      </c>
      <c r="L9" s="14">
        <f t="shared" si="9"/>
        <v>-9.5000000000000018</v>
      </c>
      <c r="M9" s="14">
        <f t="shared" si="10"/>
        <v>81</v>
      </c>
    </row>
    <row r="10" spans="1:13" ht="15" customHeight="1" x14ac:dyDescent="0.3">
      <c r="A10" s="5">
        <v>82</v>
      </c>
      <c r="B10" s="5">
        <v>-18</v>
      </c>
      <c r="C10" s="17">
        <f t="shared" si="0"/>
        <v>-8.9999999999999993E-3</v>
      </c>
      <c r="D10" s="14">
        <f t="shared" si="1"/>
        <v>-1.7999999999999999E-2</v>
      </c>
      <c r="E10" s="14">
        <f t="shared" si="2"/>
        <v>-3.5999999999999997E-2</v>
      </c>
      <c r="F10" s="14">
        <f t="shared" si="3"/>
        <v>-7.1999999999999995E-2</v>
      </c>
      <c r="G10" s="14">
        <f t="shared" si="4"/>
        <v>-0.09</v>
      </c>
      <c r="H10" s="14">
        <f t="shared" si="5"/>
        <v>-0.18</v>
      </c>
      <c r="I10" s="14">
        <f t="shared" si="6"/>
        <v>-0.36</v>
      </c>
      <c r="J10" s="14">
        <f t="shared" si="7"/>
        <v>-0.72</v>
      </c>
      <c r="K10" s="14">
        <f t="shared" si="8"/>
        <v>-0.89999999999999991</v>
      </c>
      <c r="L10" s="14">
        <f t="shared" si="9"/>
        <v>-9</v>
      </c>
      <c r="M10" s="14">
        <f t="shared" si="10"/>
        <v>82</v>
      </c>
    </row>
    <row r="11" spans="1:13" ht="15" customHeight="1" x14ac:dyDescent="0.3">
      <c r="A11" s="5">
        <v>83</v>
      </c>
      <c r="B11" s="5">
        <v>-17</v>
      </c>
      <c r="C11" s="17">
        <f t="shared" si="0"/>
        <v>-8.5000000000000006E-3</v>
      </c>
      <c r="D11" s="14">
        <f t="shared" si="1"/>
        <v>-1.7000000000000001E-2</v>
      </c>
      <c r="E11" s="14">
        <f t="shared" si="2"/>
        <v>-3.4000000000000002E-2</v>
      </c>
      <c r="F11" s="14">
        <f t="shared" si="3"/>
        <v>-6.8000000000000005E-2</v>
      </c>
      <c r="G11" s="14">
        <f t="shared" si="4"/>
        <v>-8.5000000000000006E-2</v>
      </c>
      <c r="H11" s="14">
        <f t="shared" si="5"/>
        <v>-0.17</v>
      </c>
      <c r="I11" s="14">
        <f t="shared" si="6"/>
        <v>-0.34</v>
      </c>
      <c r="J11" s="14">
        <f t="shared" si="7"/>
        <v>-0.68</v>
      </c>
      <c r="K11" s="14">
        <f t="shared" si="8"/>
        <v>-0.85000000000000009</v>
      </c>
      <c r="L11" s="14">
        <f t="shared" si="9"/>
        <v>-8.5</v>
      </c>
      <c r="M11" s="14">
        <f t="shared" si="10"/>
        <v>83</v>
      </c>
    </row>
    <row r="12" spans="1:13" ht="15" customHeight="1" x14ac:dyDescent="0.3">
      <c r="A12" s="5">
        <v>84</v>
      </c>
      <c r="B12" s="5">
        <v>-16</v>
      </c>
      <c r="C12" s="17">
        <f t="shared" si="0"/>
        <v>-8.0000000000000002E-3</v>
      </c>
      <c r="D12" s="14">
        <f t="shared" si="1"/>
        <v>-1.6E-2</v>
      </c>
      <c r="E12" s="14">
        <f t="shared" si="2"/>
        <v>-3.2000000000000001E-2</v>
      </c>
      <c r="F12" s="14">
        <f t="shared" si="3"/>
        <v>-6.4000000000000001E-2</v>
      </c>
      <c r="G12" s="14">
        <f t="shared" si="4"/>
        <v>-0.08</v>
      </c>
      <c r="H12" s="14">
        <f t="shared" si="5"/>
        <v>-0.16</v>
      </c>
      <c r="I12" s="14">
        <f t="shared" si="6"/>
        <v>-0.32</v>
      </c>
      <c r="J12" s="14">
        <f t="shared" si="7"/>
        <v>-0.64</v>
      </c>
      <c r="K12" s="14">
        <f t="shared" si="8"/>
        <v>-0.8</v>
      </c>
      <c r="L12" s="14">
        <f t="shared" si="9"/>
        <v>-8</v>
      </c>
      <c r="M12" s="14">
        <f t="shared" si="10"/>
        <v>84</v>
      </c>
    </row>
    <row r="13" spans="1:13" ht="15" customHeight="1" x14ac:dyDescent="0.3">
      <c r="A13" s="5">
        <v>85</v>
      </c>
      <c r="B13" s="5">
        <v>-15</v>
      </c>
      <c r="C13" s="17">
        <f t="shared" si="0"/>
        <v>-7.4999999999999997E-3</v>
      </c>
      <c r="D13" s="14">
        <f t="shared" si="1"/>
        <v>-1.4999999999999999E-2</v>
      </c>
      <c r="E13" s="14">
        <f t="shared" si="2"/>
        <v>-0.03</v>
      </c>
      <c r="F13" s="14">
        <f t="shared" si="3"/>
        <v>-0.06</v>
      </c>
      <c r="G13" s="14">
        <f t="shared" si="4"/>
        <v>-7.4999999999999997E-2</v>
      </c>
      <c r="H13" s="14">
        <f t="shared" si="5"/>
        <v>-0.15</v>
      </c>
      <c r="I13" s="14">
        <f t="shared" si="6"/>
        <v>-0.3</v>
      </c>
      <c r="J13" s="14">
        <f t="shared" si="7"/>
        <v>-0.6</v>
      </c>
      <c r="K13" s="14">
        <f t="shared" si="8"/>
        <v>-0.75</v>
      </c>
      <c r="L13" s="14">
        <f t="shared" si="9"/>
        <v>-7.5</v>
      </c>
      <c r="M13" s="14">
        <f t="shared" si="10"/>
        <v>85</v>
      </c>
    </row>
    <row r="14" spans="1:13" ht="15" customHeight="1" x14ac:dyDescent="0.3">
      <c r="A14" s="5">
        <v>86</v>
      </c>
      <c r="B14" s="5">
        <v>-14</v>
      </c>
      <c r="C14" s="17">
        <f t="shared" si="0"/>
        <v>-7.000000000000001E-3</v>
      </c>
      <c r="D14" s="14">
        <f t="shared" si="1"/>
        <v>-1.4000000000000002E-2</v>
      </c>
      <c r="E14" s="14">
        <f t="shared" si="2"/>
        <v>-2.8000000000000004E-2</v>
      </c>
      <c r="F14" s="14">
        <f t="shared" si="3"/>
        <v>-5.6000000000000008E-2</v>
      </c>
      <c r="G14" s="14">
        <f t="shared" si="4"/>
        <v>-7.0000000000000007E-2</v>
      </c>
      <c r="H14" s="14">
        <f t="shared" si="5"/>
        <v>-0.14000000000000001</v>
      </c>
      <c r="I14" s="14">
        <f t="shared" si="6"/>
        <v>-0.28000000000000003</v>
      </c>
      <c r="J14" s="14">
        <f t="shared" si="7"/>
        <v>-0.56000000000000005</v>
      </c>
      <c r="K14" s="14">
        <f t="shared" si="8"/>
        <v>-0.70000000000000007</v>
      </c>
      <c r="L14" s="14">
        <f t="shared" si="9"/>
        <v>-7.0000000000000009</v>
      </c>
      <c r="M14" s="14">
        <f t="shared" si="10"/>
        <v>86</v>
      </c>
    </row>
    <row r="15" spans="1:13" ht="15" customHeight="1" x14ac:dyDescent="0.3">
      <c r="A15" s="5">
        <v>87</v>
      </c>
      <c r="B15" s="5">
        <v>-13</v>
      </c>
      <c r="C15" s="17">
        <f t="shared" si="0"/>
        <v>-6.5000000000000006E-3</v>
      </c>
      <c r="D15" s="14">
        <f t="shared" si="1"/>
        <v>-1.3000000000000001E-2</v>
      </c>
      <c r="E15" s="14">
        <f t="shared" si="2"/>
        <v>-2.6000000000000002E-2</v>
      </c>
      <c r="F15" s="14">
        <f t="shared" si="3"/>
        <v>-5.2000000000000005E-2</v>
      </c>
      <c r="G15" s="14">
        <f t="shared" si="4"/>
        <v>-6.5000000000000002E-2</v>
      </c>
      <c r="H15" s="14">
        <f t="shared" si="5"/>
        <v>-0.13</v>
      </c>
      <c r="I15" s="14">
        <f t="shared" si="6"/>
        <v>-0.26</v>
      </c>
      <c r="J15" s="14">
        <f t="shared" si="7"/>
        <v>-0.52</v>
      </c>
      <c r="K15" s="14">
        <f t="shared" si="8"/>
        <v>-0.65</v>
      </c>
      <c r="L15" s="14">
        <f t="shared" si="9"/>
        <v>-6.5000000000000009</v>
      </c>
      <c r="M15" s="14">
        <f t="shared" si="10"/>
        <v>87</v>
      </c>
    </row>
    <row r="16" spans="1:13" ht="15" customHeight="1" x14ac:dyDescent="0.3">
      <c r="A16" s="5">
        <v>88</v>
      </c>
      <c r="B16" s="5">
        <v>-12</v>
      </c>
      <c r="C16" s="17">
        <f t="shared" si="0"/>
        <v>-6.0000000000000001E-3</v>
      </c>
      <c r="D16" s="14">
        <f t="shared" si="1"/>
        <v>-1.2E-2</v>
      </c>
      <c r="E16" s="14">
        <f t="shared" si="2"/>
        <v>-2.4E-2</v>
      </c>
      <c r="F16" s="14">
        <f t="shared" si="3"/>
        <v>-4.8000000000000001E-2</v>
      </c>
      <c r="G16" s="14">
        <f t="shared" si="4"/>
        <v>-0.06</v>
      </c>
      <c r="H16" s="14">
        <f t="shared" si="5"/>
        <v>-0.12</v>
      </c>
      <c r="I16" s="14">
        <f t="shared" si="6"/>
        <v>-0.24</v>
      </c>
      <c r="J16" s="14">
        <f t="shared" si="7"/>
        <v>-0.48</v>
      </c>
      <c r="K16" s="14">
        <f t="shared" si="8"/>
        <v>-0.6</v>
      </c>
      <c r="L16" s="14">
        <f t="shared" si="9"/>
        <v>-6</v>
      </c>
      <c r="M16" s="14">
        <f t="shared" si="10"/>
        <v>88</v>
      </c>
    </row>
    <row r="17" spans="1:13" ht="15" customHeight="1" x14ac:dyDescent="0.3">
      <c r="A17" s="5">
        <v>89</v>
      </c>
      <c r="B17" s="5">
        <v>-11</v>
      </c>
      <c r="C17" s="17">
        <f t="shared" si="0"/>
        <v>-5.5000000000000005E-3</v>
      </c>
      <c r="D17" s="14">
        <f t="shared" si="1"/>
        <v>-1.1000000000000001E-2</v>
      </c>
      <c r="E17" s="14">
        <f t="shared" si="2"/>
        <v>-2.2000000000000002E-2</v>
      </c>
      <c r="F17" s="14">
        <f t="shared" si="3"/>
        <v>-4.4000000000000004E-2</v>
      </c>
      <c r="G17" s="14">
        <f t="shared" si="4"/>
        <v>-5.5000000000000007E-2</v>
      </c>
      <c r="H17" s="14">
        <f t="shared" si="5"/>
        <v>-0.11000000000000001</v>
      </c>
      <c r="I17" s="14">
        <f t="shared" si="6"/>
        <v>-0.22000000000000003</v>
      </c>
      <c r="J17" s="14">
        <f t="shared" si="7"/>
        <v>-0.44000000000000006</v>
      </c>
      <c r="K17" s="14">
        <f t="shared" si="8"/>
        <v>-0.55000000000000004</v>
      </c>
      <c r="L17" s="14">
        <f t="shared" si="9"/>
        <v>-5.5000000000000009</v>
      </c>
      <c r="M17" s="14">
        <f t="shared" si="10"/>
        <v>89</v>
      </c>
    </row>
    <row r="18" spans="1:13" ht="15" customHeight="1" x14ac:dyDescent="0.3">
      <c r="A18" s="7">
        <v>90</v>
      </c>
      <c r="B18" s="5">
        <v>-10</v>
      </c>
      <c r="C18" s="20">
        <f t="shared" si="0"/>
        <v>-5.000000000000001E-3</v>
      </c>
      <c r="D18" s="15">
        <f t="shared" si="1"/>
        <v>-1.0000000000000002E-2</v>
      </c>
      <c r="E18" s="15">
        <f t="shared" si="2"/>
        <v>-2.0000000000000004E-2</v>
      </c>
      <c r="F18" s="15">
        <f t="shared" si="3"/>
        <v>-4.0000000000000008E-2</v>
      </c>
      <c r="G18" s="15">
        <f t="shared" si="4"/>
        <v>-5.000000000000001E-2</v>
      </c>
      <c r="H18" s="15">
        <f t="shared" si="5"/>
        <v>-0.10000000000000002</v>
      </c>
      <c r="I18" s="15">
        <f t="shared" si="6"/>
        <v>-0.20000000000000004</v>
      </c>
      <c r="J18" s="15">
        <f t="shared" si="7"/>
        <v>-0.40000000000000008</v>
      </c>
      <c r="K18" s="15">
        <f t="shared" si="8"/>
        <v>-0.50000000000000011</v>
      </c>
      <c r="L18" s="19">
        <f t="shared" si="9"/>
        <v>-5.0000000000000009</v>
      </c>
      <c r="M18" s="14">
        <f t="shared" si="10"/>
        <v>90</v>
      </c>
    </row>
    <row r="19" spans="1:13" ht="15" customHeight="1" x14ac:dyDescent="0.3">
      <c r="A19" s="5">
        <v>91</v>
      </c>
      <c r="B19" s="5">
        <v>-9</v>
      </c>
      <c r="C19" s="17">
        <f t="shared" si="0"/>
        <v>-4.4999999999999997E-3</v>
      </c>
      <c r="D19" s="14">
        <f t="shared" si="1"/>
        <v>-8.9999999999999993E-3</v>
      </c>
      <c r="E19" s="14">
        <f t="shared" si="2"/>
        <v>-1.7999999999999999E-2</v>
      </c>
      <c r="F19" s="14">
        <f t="shared" si="3"/>
        <v>-3.5999999999999997E-2</v>
      </c>
      <c r="G19" s="14">
        <f t="shared" si="4"/>
        <v>-4.4999999999999998E-2</v>
      </c>
      <c r="H19" s="14">
        <f t="shared" si="5"/>
        <v>-0.09</v>
      </c>
      <c r="I19" s="14">
        <f t="shared" si="6"/>
        <v>-0.18</v>
      </c>
      <c r="J19" s="14">
        <f t="shared" si="7"/>
        <v>-0.36</v>
      </c>
      <c r="K19" s="14">
        <f t="shared" si="8"/>
        <v>-0.44999999999999996</v>
      </c>
      <c r="L19" s="14">
        <f t="shared" si="9"/>
        <v>-4.5</v>
      </c>
      <c r="M19" s="14">
        <f t="shared" si="10"/>
        <v>91</v>
      </c>
    </row>
    <row r="20" spans="1:13" ht="15" customHeight="1" x14ac:dyDescent="0.3">
      <c r="A20" s="5">
        <v>92</v>
      </c>
      <c r="B20" s="5">
        <v>-8</v>
      </c>
      <c r="C20" s="17">
        <f t="shared" si="0"/>
        <v>-4.0000000000000001E-3</v>
      </c>
      <c r="D20" s="14">
        <f t="shared" si="1"/>
        <v>-8.0000000000000002E-3</v>
      </c>
      <c r="E20" s="14">
        <f t="shared" si="2"/>
        <v>-1.6E-2</v>
      </c>
      <c r="F20" s="14">
        <f t="shared" si="3"/>
        <v>-3.2000000000000001E-2</v>
      </c>
      <c r="G20" s="14">
        <f t="shared" si="4"/>
        <v>-0.04</v>
      </c>
      <c r="H20" s="14">
        <f t="shared" si="5"/>
        <v>-0.08</v>
      </c>
      <c r="I20" s="14">
        <f t="shared" si="6"/>
        <v>-0.16</v>
      </c>
      <c r="J20" s="14">
        <f t="shared" si="7"/>
        <v>-0.32</v>
      </c>
      <c r="K20" s="14">
        <f t="shared" si="8"/>
        <v>-0.4</v>
      </c>
      <c r="L20" s="14">
        <f t="shared" si="9"/>
        <v>-4</v>
      </c>
      <c r="M20" s="14">
        <f t="shared" si="10"/>
        <v>92</v>
      </c>
    </row>
    <row r="21" spans="1:13" ht="15" customHeight="1" x14ac:dyDescent="0.3">
      <c r="A21" s="5">
        <v>93</v>
      </c>
      <c r="B21" s="5">
        <v>-7</v>
      </c>
      <c r="C21" s="17">
        <f t="shared" si="0"/>
        <v>-3.5000000000000005E-3</v>
      </c>
      <c r="D21" s="14">
        <f t="shared" si="1"/>
        <v>-7.000000000000001E-3</v>
      </c>
      <c r="E21" s="14">
        <f t="shared" si="2"/>
        <v>-1.4000000000000002E-2</v>
      </c>
      <c r="F21" s="14">
        <f t="shared" si="3"/>
        <v>-2.8000000000000004E-2</v>
      </c>
      <c r="G21" s="14">
        <f t="shared" si="4"/>
        <v>-3.5000000000000003E-2</v>
      </c>
      <c r="H21" s="14">
        <f t="shared" si="5"/>
        <v>-7.0000000000000007E-2</v>
      </c>
      <c r="I21" s="14">
        <f t="shared" si="6"/>
        <v>-0.14000000000000001</v>
      </c>
      <c r="J21" s="14">
        <f t="shared" si="7"/>
        <v>-0.28000000000000003</v>
      </c>
      <c r="K21" s="14">
        <f t="shared" si="8"/>
        <v>-0.35000000000000003</v>
      </c>
      <c r="L21" s="14">
        <f t="shared" si="9"/>
        <v>-3.5000000000000004</v>
      </c>
      <c r="M21" s="14">
        <f t="shared" si="10"/>
        <v>93</v>
      </c>
    </row>
    <row r="22" spans="1:13" ht="15" customHeight="1" x14ac:dyDescent="0.3">
      <c r="A22" s="5">
        <v>94</v>
      </c>
      <c r="B22" s="5">
        <v>-6</v>
      </c>
      <c r="C22" s="17">
        <f t="shared" si="0"/>
        <v>-3.0000000000000001E-3</v>
      </c>
      <c r="D22" s="14">
        <f t="shared" si="1"/>
        <v>-6.0000000000000001E-3</v>
      </c>
      <c r="E22" s="14">
        <f t="shared" si="2"/>
        <v>-1.2E-2</v>
      </c>
      <c r="F22" s="14">
        <f t="shared" si="3"/>
        <v>-2.4E-2</v>
      </c>
      <c r="G22" s="14">
        <f t="shared" si="4"/>
        <v>-0.03</v>
      </c>
      <c r="H22" s="14">
        <f t="shared" si="5"/>
        <v>-0.06</v>
      </c>
      <c r="I22" s="14">
        <f t="shared" si="6"/>
        <v>-0.12</v>
      </c>
      <c r="J22" s="14">
        <f t="shared" si="7"/>
        <v>-0.24</v>
      </c>
      <c r="K22" s="14">
        <f t="shared" si="8"/>
        <v>-0.3</v>
      </c>
      <c r="L22" s="14">
        <f t="shared" si="9"/>
        <v>-3</v>
      </c>
      <c r="M22" s="14">
        <f t="shared" si="10"/>
        <v>94</v>
      </c>
    </row>
    <row r="23" spans="1:13" ht="15" customHeight="1" x14ac:dyDescent="0.3">
      <c r="A23" s="5">
        <v>95</v>
      </c>
      <c r="B23" s="5">
        <v>-5</v>
      </c>
      <c r="C23" s="17">
        <f t="shared" si="0"/>
        <v>-2.5000000000000005E-3</v>
      </c>
      <c r="D23" s="14">
        <f t="shared" si="1"/>
        <v>-5.000000000000001E-3</v>
      </c>
      <c r="E23" s="14">
        <f t="shared" si="2"/>
        <v>-1.0000000000000002E-2</v>
      </c>
      <c r="F23" s="14">
        <f t="shared" si="3"/>
        <v>-2.0000000000000004E-2</v>
      </c>
      <c r="G23" s="14">
        <f t="shared" si="4"/>
        <v>-2.5000000000000005E-2</v>
      </c>
      <c r="H23" s="14">
        <f t="shared" si="5"/>
        <v>-5.000000000000001E-2</v>
      </c>
      <c r="I23" s="14">
        <f t="shared" si="6"/>
        <v>-0.10000000000000002</v>
      </c>
      <c r="J23" s="14">
        <f t="shared" si="7"/>
        <v>-0.20000000000000004</v>
      </c>
      <c r="K23" s="14">
        <f t="shared" si="8"/>
        <v>-0.25000000000000006</v>
      </c>
      <c r="L23" s="14">
        <f t="shared" si="9"/>
        <v>-2.5000000000000004</v>
      </c>
      <c r="M23" s="14">
        <f t="shared" si="10"/>
        <v>95</v>
      </c>
    </row>
    <row r="24" spans="1:13" ht="15" customHeight="1" x14ac:dyDescent="0.3">
      <c r="A24" s="5">
        <v>96</v>
      </c>
      <c r="B24" s="5">
        <v>-4</v>
      </c>
      <c r="C24" s="17">
        <f t="shared" si="0"/>
        <v>-2E-3</v>
      </c>
      <c r="D24" s="14">
        <f t="shared" si="1"/>
        <v>-4.0000000000000001E-3</v>
      </c>
      <c r="E24" s="14">
        <f t="shared" si="2"/>
        <v>-8.0000000000000002E-3</v>
      </c>
      <c r="F24" s="14">
        <f t="shared" si="3"/>
        <v>-1.6E-2</v>
      </c>
      <c r="G24" s="14">
        <f t="shared" si="4"/>
        <v>-0.02</v>
      </c>
      <c r="H24" s="14">
        <f t="shared" si="5"/>
        <v>-0.04</v>
      </c>
      <c r="I24" s="14">
        <f t="shared" si="6"/>
        <v>-0.08</v>
      </c>
      <c r="J24" s="14">
        <f t="shared" si="7"/>
        <v>-0.16</v>
      </c>
      <c r="K24" s="14">
        <f t="shared" si="8"/>
        <v>-0.2</v>
      </c>
      <c r="L24" s="14">
        <f t="shared" si="9"/>
        <v>-2</v>
      </c>
      <c r="M24" s="14">
        <f t="shared" si="10"/>
        <v>96</v>
      </c>
    </row>
    <row r="25" spans="1:13" ht="15" customHeight="1" x14ac:dyDescent="0.3">
      <c r="A25" s="5">
        <v>97</v>
      </c>
      <c r="B25" s="5">
        <v>-3</v>
      </c>
      <c r="C25" s="17">
        <f t="shared" si="0"/>
        <v>-1.5E-3</v>
      </c>
      <c r="D25" s="14">
        <f t="shared" si="1"/>
        <v>-3.0000000000000001E-3</v>
      </c>
      <c r="E25" s="14">
        <f t="shared" si="2"/>
        <v>-6.0000000000000001E-3</v>
      </c>
      <c r="F25" s="14">
        <f t="shared" si="3"/>
        <v>-1.2E-2</v>
      </c>
      <c r="G25" s="14">
        <f t="shared" si="4"/>
        <v>-1.4999999999999999E-2</v>
      </c>
      <c r="H25" s="14">
        <f t="shared" si="5"/>
        <v>-0.03</v>
      </c>
      <c r="I25" s="14">
        <f t="shared" si="6"/>
        <v>-0.06</v>
      </c>
      <c r="J25" s="14">
        <f t="shared" si="7"/>
        <v>-0.12</v>
      </c>
      <c r="K25" s="14">
        <f t="shared" si="8"/>
        <v>-0.15</v>
      </c>
      <c r="L25" s="14">
        <f t="shared" si="9"/>
        <v>-1.5</v>
      </c>
      <c r="M25" s="14">
        <f t="shared" si="10"/>
        <v>97</v>
      </c>
    </row>
    <row r="26" spans="1:13" ht="15" customHeight="1" x14ac:dyDescent="0.3">
      <c r="A26" s="5">
        <v>98</v>
      </c>
      <c r="B26" s="5">
        <v>-2</v>
      </c>
      <c r="C26" s="17">
        <f t="shared" si="0"/>
        <v>-1E-3</v>
      </c>
      <c r="D26" s="14">
        <f t="shared" si="1"/>
        <v>-2E-3</v>
      </c>
      <c r="E26" s="14">
        <f t="shared" si="2"/>
        <v>-4.0000000000000001E-3</v>
      </c>
      <c r="F26" s="14">
        <f t="shared" si="3"/>
        <v>-8.0000000000000002E-3</v>
      </c>
      <c r="G26" s="14">
        <f t="shared" si="4"/>
        <v>-0.01</v>
      </c>
      <c r="H26" s="14">
        <f t="shared" si="5"/>
        <v>-0.02</v>
      </c>
      <c r="I26" s="14">
        <f t="shared" si="6"/>
        <v>-0.04</v>
      </c>
      <c r="J26" s="14">
        <f t="shared" si="7"/>
        <v>-0.08</v>
      </c>
      <c r="K26" s="14">
        <f t="shared" si="8"/>
        <v>-0.1</v>
      </c>
      <c r="L26" s="14">
        <f t="shared" si="9"/>
        <v>-1</v>
      </c>
      <c r="M26" s="14">
        <f t="shared" si="10"/>
        <v>98</v>
      </c>
    </row>
    <row r="27" spans="1:13" ht="15" customHeight="1" x14ac:dyDescent="0.3">
      <c r="A27" s="5">
        <v>99</v>
      </c>
      <c r="B27" s="5">
        <v>-1</v>
      </c>
      <c r="C27" s="17">
        <f t="shared" si="0"/>
        <v>-5.0000000000000001E-4</v>
      </c>
      <c r="D27" s="14">
        <f t="shared" si="1"/>
        <v>-1E-3</v>
      </c>
      <c r="E27" s="14">
        <f t="shared" si="2"/>
        <v>-2E-3</v>
      </c>
      <c r="F27" s="14">
        <f t="shared" si="3"/>
        <v>-4.0000000000000001E-3</v>
      </c>
      <c r="G27" s="14">
        <f t="shared" si="4"/>
        <v>-5.0000000000000001E-3</v>
      </c>
      <c r="H27" s="14">
        <f t="shared" si="5"/>
        <v>-0.01</v>
      </c>
      <c r="I27" s="14">
        <f t="shared" si="6"/>
        <v>-0.02</v>
      </c>
      <c r="J27" s="14">
        <f t="shared" si="7"/>
        <v>-0.04</v>
      </c>
      <c r="K27" s="14">
        <f t="shared" si="8"/>
        <v>-0.05</v>
      </c>
      <c r="L27" s="14">
        <f t="shared" si="9"/>
        <v>-0.5</v>
      </c>
      <c r="M27" s="14">
        <f t="shared" si="10"/>
        <v>99</v>
      </c>
    </row>
    <row r="28" spans="1:13" ht="15" customHeight="1" x14ac:dyDescent="0.3">
      <c r="A28" s="7">
        <v>100</v>
      </c>
      <c r="B28" s="7">
        <v>0</v>
      </c>
      <c r="C28" s="20">
        <f t="shared" si="0"/>
        <v>0</v>
      </c>
      <c r="D28" s="15">
        <f t="shared" si="1"/>
        <v>0</v>
      </c>
      <c r="E28" s="15">
        <f t="shared" si="2"/>
        <v>0</v>
      </c>
      <c r="F28" s="15">
        <f t="shared" si="3"/>
        <v>0</v>
      </c>
      <c r="G28" s="15">
        <f t="shared" si="4"/>
        <v>0</v>
      </c>
      <c r="H28" s="15">
        <f t="shared" si="5"/>
        <v>0</v>
      </c>
      <c r="I28" s="15">
        <f t="shared" si="6"/>
        <v>0</v>
      </c>
      <c r="J28" s="15">
        <f t="shared" si="7"/>
        <v>0</v>
      </c>
      <c r="K28" s="15">
        <f t="shared" si="8"/>
        <v>0</v>
      </c>
      <c r="L28" s="15">
        <f t="shared" si="9"/>
        <v>0</v>
      </c>
      <c r="M28" s="14">
        <f t="shared" si="10"/>
        <v>100</v>
      </c>
    </row>
    <row r="29" spans="1:13" ht="15" customHeight="1" x14ac:dyDescent="0.3">
      <c r="A29" s="5">
        <v>101</v>
      </c>
      <c r="B29" s="5">
        <v>1</v>
      </c>
      <c r="C29" s="17">
        <f>(0.1/2)*(B29/100)*1</f>
        <v>5.0000000000000001E-4</v>
      </c>
      <c r="D29" s="14">
        <f t="shared" si="1"/>
        <v>1E-3</v>
      </c>
      <c r="E29" s="14">
        <f t="shared" si="2"/>
        <v>2E-3</v>
      </c>
      <c r="F29" s="14">
        <f t="shared" si="3"/>
        <v>4.0000000000000001E-3</v>
      </c>
      <c r="G29" s="14">
        <f t="shared" si="4"/>
        <v>5.0000000000000001E-3</v>
      </c>
      <c r="H29" s="14">
        <f t="shared" si="5"/>
        <v>0.01</v>
      </c>
      <c r="I29" s="14">
        <f t="shared" si="6"/>
        <v>0.02</v>
      </c>
      <c r="J29" s="14">
        <f t="shared" si="7"/>
        <v>0.04</v>
      </c>
      <c r="K29" s="14">
        <f t="shared" si="8"/>
        <v>0.05</v>
      </c>
      <c r="L29" s="14">
        <f t="shared" si="9"/>
        <v>0.5</v>
      </c>
      <c r="M29" s="14">
        <f t="shared" si="10"/>
        <v>101</v>
      </c>
    </row>
    <row r="30" spans="1:13" ht="15" customHeight="1" x14ac:dyDescent="0.3">
      <c r="A30" s="5">
        <v>102</v>
      </c>
      <c r="B30" s="5">
        <v>2</v>
      </c>
      <c r="C30" s="17">
        <f t="shared" si="0"/>
        <v>1E-3</v>
      </c>
      <c r="D30" s="14">
        <f t="shared" si="1"/>
        <v>2E-3</v>
      </c>
      <c r="E30" s="14">
        <f t="shared" si="2"/>
        <v>4.0000000000000001E-3</v>
      </c>
      <c r="F30" s="14">
        <f t="shared" si="3"/>
        <v>8.0000000000000002E-3</v>
      </c>
      <c r="G30" s="14">
        <f t="shared" si="4"/>
        <v>0.01</v>
      </c>
      <c r="H30" s="14">
        <f t="shared" si="5"/>
        <v>0.02</v>
      </c>
      <c r="I30" s="14">
        <f t="shared" si="6"/>
        <v>0.04</v>
      </c>
      <c r="J30" s="14">
        <f t="shared" si="7"/>
        <v>0.08</v>
      </c>
      <c r="K30" s="14">
        <f t="shared" si="8"/>
        <v>0.1</v>
      </c>
      <c r="L30" s="14">
        <f t="shared" si="9"/>
        <v>1</v>
      </c>
      <c r="M30" s="14">
        <f t="shared" si="10"/>
        <v>102</v>
      </c>
    </row>
    <row r="31" spans="1:13" ht="15" customHeight="1" x14ac:dyDescent="0.3">
      <c r="A31" s="5">
        <v>103</v>
      </c>
      <c r="B31" s="5">
        <v>3</v>
      </c>
      <c r="C31" s="17">
        <f t="shared" si="0"/>
        <v>1.5E-3</v>
      </c>
      <c r="D31" s="14">
        <f t="shared" si="1"/>
        <v>3.0000000000000001E-3</v>
      </c>
      <c r="E31" s="14">
        <f t="shared" si="2"/>
        <v>6.0000000000000001E-3</v>
      </c>
      <c r="F31" s="14">
        <f t="shared" si="3"/>
        <v>1.2E-2</v>
      </c>
      <c r="G31" s="14">
        <f t="shared" si="4"/>
        <v>1.4999999999999999E-2</v>
      </c>
      <c r="H31" s="14">
        <f t="shared" si="5"/>
        <v>0.03</v>
      </c>
      <c r="I31" s="14">
        <f t="shared" si="6"/>
        <v>0.06</v>
      </c>
      <c r="J31" s="14">
        <f t="shared" si="7"/>
        <v>0.12</v>
      </c>
      <c r="K31" s="14">
        <f t="shared" si="8"/>
        <v>0.15</v>
      </c>
      <c r="L31" s="14">
        <f t="shared" si="9"/>
        <v>1.5</v>
      </c>
      <c r="M31" s="14">
        <f t="shared" si="10"/>
        <v>103</v>
      </c>
    </row>
    <row r="32" spans="1:13" ht="15" customHeight="1" x14ac:dyDescent="0.3">
      <c r="A32" s="5">
        <v>104</v>
      </c>
      <c r="B32" s="5">
        <v>4</v>
      </c>
      <c r="C32" s="17">
        <f t="shared" si="0"/>
        <v>2E-3</v>
      </c>
      <c r="D32" s="14">
        <f t="shared" si="1"/>
        <v>4.0000000000000001E-3</v>
      </c>
      <c r="E32" s="14">
        <f t="shared" si="2"/>
        <v>8.0000000000000002E-3</v>
      </c>
      <c r="F32" s="14">
        <f t="shared" si="3"/>
        <v>1.6E-2</v>
      </c>
      <c r="G32" s="14">
        <f t="shared" si="4"/>
        <v>0.02</v>
      </c>
      <c r="H32" s="14">
        <f t="shared" si="5"/>
        <v>0.04</v>
      </c>
      <c r="I32" s="14">
        <f t="shared" si="6"/>
        <v>0.08</v>
      </c>
      <c r="J32" s="14">
        <f t="shared" si="7"/>
        <v>0.16</v>
      </c>
      <c r="K32" s="14">
        <f t="shared" si="8"/>
        <v>0.2</v>
      </c>
      <c r="L32" s="14">
        <f t="shared" si="9"/>
        <v>2</v>
      </c>
      <c r="M32" s="14">
        <f t="shared" si="10"/>
        <v>104</v>
      </c>
    </row>
    <row r="33" spans="1:13" ht="15" customHeight="1" x14ac:dyDescent="0.3">
      <c r="A33" s="5">
        <v>105</v>
      </c>
      <c r="B33" s="5">
        <v>5</v>
      </c>
      <c r="C33" s="17">
        <f t="shared" si="0"/>
        <v>2.5000000000000005E-3</v>
      </c>
      <c r="D33" s="14">
        <f t="shared" si="1"/>
        <v>5.000000000000001E-3</v>
      </c>
      <c r="E33" s="14">
        <f t="shared" si="2"/>
        <v>1.0000000000000002E-2</v>
      </c>
      <c r="F33" s="14">
        <f t="shared" si="3"/>
        <v>2.0000000000000004E-2</v>
      </c>
      <c r="G33" s="14">
        <f t="shared" si="4"/>
        <v>2.5000000000000005E-2</v>
      </c>
      <c r="H33" s="14">
        <f t="shared" si="5"/>
        <v>5.000000000000001E-2</v>
      </c>
      <c r="I33" s="14">
        <f t="shared" si="6"/>
        <v>0.10000000000000002</v>
      </c>
      <c r="J33" s="14">
        <f t="shared" si="7"/>
        <v>0.20000000000000004</v>
      </c>
      <c r="K33" s="14">
        <f t="shared" si="8"/>
        <v>0.25000000000000006</v>
      </c>
      <c r="L33" s="14">
        <f t="shared" si="9"/>
        <v>2.5000000000000004</v>
      </c>
      <c r="M33" s="14">
        <f t="shared" si="10"/>
        <v>105</v>
      </c>
    </row>
    <row r="34" spans="1:13" ht="15" customHeight="1" x14ac:dyDescent="0.3">
      <c r="A34" s="5">
        <v>106</v>
      </c>
      <c r="B34" s="5">
        <v>6</v>
      </c>
      <c r="C34" s="17">
        <f t="shared" si="0"/>
        <v>3.0000000000000001E-3</v>
      </c>
      <c r="D34" s="14">
        <f t="shared" si="1"/>
        <v>6.0000000000000001E-3</v>
      </c>
      <c r="E34" s="14">
        <f t="shared" si="2"/>
        <v>1.2E-2</v>
      </c>
      <c r="F34" s="14">
        <f t="shared" si="3"/>
        <v>2.4E-2</v>
      </c>
      <c r="G34" s="14">
        <f t="shared" si="4"/>
        <v>0.03</v>
      </c>
      <c r="H34" s="14">
        <f t="shared" si="5"/>
        <v>0.06</v>
      </c>
      <c r="I34" s="14">
        <f t="shared" si="6"/>
        <v>0.12</v>
      </c>
      <c r="J34" s="14">
        <f t="shared" si="7"/>
        <v>0.24</v>
      </c>
      <c r="K34" s="14">
        <f t="shared" si="8"/>
        <v>0.3</v>
      </c>
      <c r="L34" s="14">
        <f t="shared" si="9"/>
        <v>3</v>
      </c>
      <c r="M34" s="14">
        <f t="shared" si="10"/>
        <v>106</v>
      </c>
    </row>
    <row r="35" spans="1:13" ht="15" customHeight="1" x14ac:dyDescent="0.3">
      <c r="A35" s="5">
        <v>107</v>
      </c>
      <c r="B35" s="5">
        <v>7</v>
      </c>
      <c r="C35" s="17">
        <f t="shared" si="0"/>
        <v>3.5000000000000005E-3</v>
      </c>
      <c r="D35" s="14">
        <f t="shared" si="1"/>
        <v>7.000000000000001E-3</v>
      </c>
      <c r="E35" s="14">
        <f t="shared" si="2"/>
        <v>1.4000000000000002E-2</v>
      </c>
      <c r="F35" s="14">
        <f t="shared" si="3"/>
        <v>2.8000000000000004E-2</v>
      </c>
      <c r="G35" s="14">
        <f t="shared" si="4"/>
        <v>3.5000000000000003E-2</v>
      </c>
      <c r="H35" s="14">
        <f t="shared" si="5"/>
        <v>7.0000000000000007E-2</v>
      </c>
      <c r="I35" s="14">
        <f t="shared" si="6"/>
        <v>0.14000000000000001</v>
      </c>
      <c r="J35" s="14">
        <f t="shared" si="7"/>
        <v>0.28000000000000003</v>
      </c>
      <c r="K35" s="14">
        <f t="shared" si="8"/>
        <v>0.35000000000000003</v>
      </c>
      <c r="L35" s="14">
        <f t="shared" si="9"/>
        <v>3.5000000000000004</v>
      </c>
      <c r="M35" s="14">
        <f t="shared" si="10"/>
        <v>107</v>
      </c>
    </row>
    <row r="36" spans="1:13" ht="15" customHeight="1" x14ac:dyDescent="0.3">
      <c r="A36" s="5">
        <v>108</v>
      </c>
      <c r="B36" s="5">
        <v>8</v>
      </c>
      <c r="C36" s="17">
        <f t="shared" si="0"/>
        <v>4.0000000000000001E-3</v>
      </c>
      <c r="D36" s="14">
        <f t="shared" si="1"/>
        <v>8.0000000000000002E-3</v>
      </c>
      <c r="E36" s="14">
        <f t="shared" si="2"/>
        <v>1.6E-2</v>
      </c>
      <c r="F36" s="14">
        <f t="shared" si="3"/>
        <v>3.2000000000000001E-2</v>
      </c>
      <c r="G36" s="14">
        <f t="shared" si="4"/>
        <v>0.04</v>
      </c>
      <c r="H36" s="14">
        <f t="shared" si="5"/>
        <v>0.08</v>
      </c>
      <c r="I36" s="14">
        <f t="shared" si="6"/>
        <v>0.16</v>
      </c>
      <c r="J36" s="14">
        <f t="shared" si="7"/>
        <v>0.32</v>
      </c>
      <c r="K36" s="14">
        <f t="shared" si="8"/>
        <v>0.4</v>
      </c>
      <c r="L36" s="14">
        <f t="shared" si="9"/>
        <v>4</v>
      </c>
      <c r="M36" s="14">
        <f t="shared" si="10"/>
        <v>108</v>
      </c>
    </row>
    <row r="37" spans="1:13" ht="15" customHeight="1" x14ac:dyDescent="0.3">
      <c r="A37" s="5">
        <v>109</v>
      </c>
      <c r="B37" s="5">
        <v>9</v>
      </c>
      <c r="C37" s="17">
        <f t="shared" si="0"/>
        <v>4.4999999999999997E-3</v>
      </c>
      <c r="D37" s="14">
        <f t="shared" si="1"/>
        <v>8.9999999999999993E-3</v>
      </c>
      <c r="E37" s="14">
        <f t="shared" si="2"/>
        <v>1.7999999999999999E-2</v>
      </c>
      <c r="F37" s="14">
        <f t="shared" si="3"/>
        <v>3.5999999999999997E-2</v>
      </c>
      <c r="G37" s="14">
        <f t="shared" si="4"/>
        <v>4.4999999999999998E-2</v>
      </c>
      <c r="H37" s="14">
        <f t="shared" si="5"/>
        <v>0.09</v>
      </c>
      <c r="I37" s="14">
        <f t="shared" si="6"/>
        <v>0.18</v>
      </c>
      <c r="J37" s="14">
        <f t="shared" si="7"/>
        <v>0.36</v>
      </c>
      <c r="K37" s="14">
        <f t="shared" si="8"/>
        <v>0.44999999999999996</v>
      </c>
      <c r="L37" s="14">
        <f t="shared" si="9"/>
        <v>4.5</v>
      </c>
      <c r="M37" s="14">
        <f t="shared" si="10"/>
        <v>109</v>
      </c>
    </row>
    <row r="38" spans="1:13" ht="15" customHeight="1" x14ac:dyDescent="0.3">
      <c r="A38" s="7">
        <v>110</v>
      </c>
      <c r="B38" s="5">
        <v>10</v>
      </c>
      <c r="C38" s="20">
        <f t="shared" si="0"/>
        <v>5.000000000000001E-3</v>
      </c>
      <c r="D38" s="15">
        <f t="shared" si="1"/>
        <v>1.0000000000000002E-2</v>
      </c>
      <c r="E38" s="15">
        <f t="shared" si="2"/>
        <v>2.0000000000000004E-2</v>
      </c>
      <c r="F38" s="15">
        <f t="shared" si="3"/>
        <v>4.0000000000000008E-2</v>
      </c>
      <c r="G38" s="15">
        <f t="shared" si="4"/>
        <v>5.000000000000001E-2</v>
      </c>
      <c r="H38" s="15">
        <f t="shared" si="5"/>
        <v>0.10000000000000002</v>
      </c>
      <c r="I38" s="15">
        <f t="shared" si="6"/>
        <v>0.20000000000000004</v>
      </c>
      <c r="J38" s="15">
        <f t="shared" si="7"/>
        <v>0.40000000000000008</v>
      </c>
      <c r="K38" s="15">
        <f t="shared" si="8"/>
        <v>0.50000000000000011</v>
      </c>
      <c r="L38" s="19">
        <f t="shared" si="9"/>
        <v>5.0000000000000009</v>
      </c>
      <c r="M38" s="14">
        <f t="shared" si="10"/>
        <v>110</v>
      </c>
    </row>
    <row r="39" spans="1:13" ht="15" customHeight="1" x14ac:dyDescent="0.3">
      <c r="A39" s="5">
        <v>111</v>
      </c>
      <c r="B39" s="5">
        <v>11</v>
      </c>
      <c r="C39" s="17">
        <f t="shared" si="0"/>
        <v>5.5000000000000005E-3</v>
      </c>
      <c r="D39" s="14">
        <f t="shared" si="1"/>
        <v>1.1000000000000001E-2</v>
      </c>
      <c r="E39" s="14">
        <f t="shared" si="2"/>
        <v>2.2000000000000002E-2</v>
      </c>
      <c r="F39" s="14">
        <f t="shared" si="3"/>
        <v>4.4000000000000004E-2</v>
      </c>
      <c r="G39" s="14">
        <f t="shared" si="4"/>
        <v>5.5000000000000007E-2</v>
      </c>
      <c r="H39" s="14">
        <f t="shared" si="5"/>
        <v>0.11000000000000001</v>
      </c>
      <c r="I39" s="14">
        <f t="shared" si="6"/>
        <v>0.22000000000000003</v>
      </c>
      <c r="J39" s="14">
        <f t="shared" si="7"/>
        <v>0.44000000000000006</v>
      </c>
      <c r="K39" s="14">
        <f t="shared" si="8"/>
        <v>0.55000000000000004</v>
      </c>
      <c r="L39" s="14">
        <f t="shared" si="9"/>
        <v>5.5000000000000009</v>
      </c>
      <c r="M39" s="14">
        <f t="shared" si="10"/>
        <v>111</v>
      </c>
    </row>
    <row r="40" spans="1:13" ht="15" customHeight="1" x14ac:dyDescent="0.3">
      <c r="A40" s="5">
        <v>112</v>
      </c>
      <c r="B40" s="5">
        <v>12</v>
      </c>
      <c r="C40" s="17">
        <f t="shared" si="0"/>
        <v>6.0000000000000001E-3</v>
      </c>
      <c r="D40" s="14">
        <f t="shared" si="1"/>
        <v>1.2E-2</v>
      </c>
      <c r="E40" s="14">
        <f t="shared" si="2"/>
        <v>2.4E-2</v>
      </c>
      <c r="F40" s="14">
        <f t="shared" si="3"/>
        <v>4.8000000000000001E-2</v>
      </c>
      <c r="G40" s="14">
        <f t="shared" si="4"/>
        <v>0.06</v>
      </c>
      <c r="H40" s="14">
        <f t="shared" si="5"/>
        <v>0.12</v>
      </c>
      <c r="I40" s="14">
        <f t="shared" si="6"/>
        <v>0.24</v>
      </c>
      <c r="J40" s="14">
        <f t="shared" si="7"/>
        <v>0.48</v>
      </c>
      <c r="K40" s="14">
        <f t="shared" si="8"/>
        <v>0.6</v>
      </c>
      <c r="L40" s="14">
        <f t="shared" si="9"/>
        <v>6</v>
      </c>
      <c r="M40" s="14">
        <f t="shared" si="10"/>
        <v>112</v>
      </c>
    </row>
    <row r="41" spans="1:13" ht="15" customHeight="1" x14ac:dyDescent="0.3">
      <c r="A41" s="5">
        <v>113</v>
      </c>
      <c r="B41" s="5">
        <v>13</v>
      </c>
      <c r="C41" s="17">
        <f t="shared" si="0"/>
        <v>6.5000000000000006E-3</v>
      </c>
      <c r="D41" s="14">
        <f t="shared" si="1"/>
        <v>1.3000000000000001E-2</v>
      </c>
      <c r="E41" s="14">
        <f t="shared" si="2"/>
        <v>2.6000000000000002E-2</v>
      </c>
      <c r="F41" s="14">
        <f t="shared" si="3"/>
        <v>5.2000000000000005E-2</v>
      </c>
      <c r="G41" s="14">
        <f t="shared" si="4"/>
        <v>6.5000000000000002E-2</v>
      </c>
      <c r="H41" s="14">
        <f t="shared" si="5"/>
        <v>0.13</v>
      </c>
      <c r="I41" s="14">
        <f t="shared" si="6"/>
        <v>0.26</v>
      </c>
      <c r="J41" s="14">
        <f t="shared" si="7"/>
        <v>0.52</v>
      </c>
      <c r="K41" s="14">
        <f t="shared" si="8"/>
        <v>0.65</v>
      </c>
      <c r="L41" s="14">
        <f t="shared" si="9"/>
        <v>6.5000000000000009</v>
      </c>
      <c r="M41" s="14">
        <f t="shared" si="10"/>
        <v>113</v>
      </c>
    </row>
    <row r="42" spans="1:13" ht="15" customHeight="1" x14ac:dyDescent="0.3">
      <c r="A42" s="5">
        <v>114</v>
      </c>
      <c r="B42" s="5">
        <v>14</v>
      </c>
      <c r="C42" s="17">
        <f t="shared" si="0"/>
        <v>7.000000000000001E-3</v>
      </c>
      <c r="D42" s="14">
        <f t="shared" si="1"/>
        <v>1.4000000000000002E-2</v>
      </c>
      <c r="E42" s="14">
        <f t="shared" si="2"/>
        <v>2.8000000000000004E-2</v>
      </c>
      <c r="F42" s="14">
        <f t="shared" si="3"/>
        <v>5.6000000000000008E-2</v>
      </c>
      <c r="G42" s="14">
        <f t="shared" si="4"/>
        <v>7.0000000000000007E-2</v>
      </c>
      <c r="H42" s="14">
        <f t="shared" si="5"/>
        <v>0.14000000000000001</v>
      </c>
      <c r="I42" s="14">
        <f t="shared" si="6"/>
        <v>0.28000000000000003</v>
      </c>
      <c r="J42" s="14">
        <f t="shared" si="7"/>
        <v>0.56000000000000005</v>
      </c>
      <c r="K42" s="14">
        <f t="shared" si="8"/>
        <v>0.70000000000000007</v>
      </c>
      <c r="L42" s="14">
        <f t="shared" si="9"/>
        <v>7.0000000000000009</v>
      </c>
      <c r="M42" s="14">
        <f t="shared" si="10"/>
        <v>114</v>
      </c>
    </row>
    <row r="43" spans="1:13" ht="15" customHeight="1" x14ac:dyDescent="0.3">
      <c r="A43" s="5">
        <v>115</v>
      </c>
      <c r="B43" s="5">
        <v>15</v>
      </c>
      <c r="C43" s="17">
        <f t="shared" si="0"/>
        <v>7.4999999999999997E-3</v>
      </c>
      <c r="D43" s="14">
        <f t="shared" si="1"/>
        <v>1.4999999999999999E-2</v>
      </c>
      <c r="E43" s="14">
        <f t="shared" si="2"/>
        <v>0.03</v>
      </c>
      <c r="F43" s="14">
        <f t="shared" si="3"/>
        <v>0.06</v>
      </c>
      <c r="G43" s="14">
        <f t="shared" si="4"/>
        <v>7.4999999999999997E-2</v>
      </c>
      <c r="H43" s="14">
        <f t="shared" si="5"/>
        <v>0.15</v>
      </c>
      <c r="I43" s="14">
        <f t="shared" si="6"/>
        <v>0.3</v>
      </c>
      <c r="J43" s="14">
        <f t="shared" si="7"/>
        <v>0.6</v>
      </c>
      <c r="K43" s="14">
        <f t="shared" si="8"/>
        <v>0.75</v>
      </c>
      <c r="L43" s="14">
        <f t="shared" si="9"/>
        <v>7.5</v>
      </c>
      <c r="M43" s="14">
        <f t="shared" si="10"/>
        <v>115</v>
      </c>
    </row>
    <row r="44" spans="1:13" ht="15" customHeight="1" x14ac:dyDescent="0.3">
      <c r="A44" s="5">
        <v>116</v>
      </c>
      <c r="B44" s="5">
        <v>16</v>
      </c>
      <c r="C44" s="17">
        <f t="shared" si="0"/>
        <v>8.0000000000000002E-3</v>
      </c>
      <c r="D44" s="14">
        <f t="shared" si="1"/>
        <v>1.6E-2</v>
      </c>
      <c r="E44" s="14">
        <f t="shared" si="2"/>
        <v>3.2000000000000001E-2</v>
      </c>
      <c r="F44" s="14">
        <f t="shared" si="3"/>
        <v>6.4000000000000001E-2</v>
      </c>
      <c r="G44" s="14">
        <f t="shared" si="4"/>
        <v>0.08</v>
      </c>
      <c r="H44" s="14">
        <f t="shared" si="5"/>
        <v>0.16</v>
      </c>
      <c r="I44" s="14">
        <f t="shared" si="6"/>
        <v>0.32</v>
      </c>
      <c r="J44" s="14">
        <f t="shared" si="7"/>
        <v>0.64</v>
      </c>
      <c r="K44" s="14">
        <f t="shared" si="8"/>
        <v>0.8</v>
      </c>
      <c r="L44" s="14">
        <f t="shared" si="9"/>
        <v>8</v>
      </c>
      <c r="M44" s="14">
        <f t="shared" si="10"/>
        <v>116</v>
      </c>
    </row>
    <row r="45" spans="1:13" ht="15" customHeight="1" x14ac:dyDescent="0.3">
      <c r="A45" s="5">
        <v>117</v>
      </c>
      <c r="B45" s="5">
        <v>17</v>
      </c>
      <c r="C45" s="17">
        <f t="shared" si="0"/>
        <v>8.5000000000000006E-3</v>
      </c>
      <c r="D45" s="14">
        <f t="shared" si="1"/>
        <v>1.7000000000000001E-2</v>
      </c>
      <c r="E45" s="14">
        <f t="shared" si="2"/>
        <v>3.4000000000000002E-2</v>
      </c>
      <c r="F45" s="14">
        <f t="shared" si="3"/>
        <v>6.8000000000000005E-2</v>
      </c>
      <c r="G45" s="14">
        <f t="shared" si="4"/>
        <v>8.5000000000000006E-2</v>
      </c>
      <c r="H45" s="14">
        <f t="shared" si="5"/>
        <v>0.17</v>
      </c>
      <c r="I45" s="14">
        <f t="shared" si="6"/>
        <v>0.34</v>
      </c>
      <c r="J45" s="14">
        <f t="shared" si="7"/>
        <v>0.68</v>
      </c>
      <c r="K45" s="14">
        <f t="shared" si="8"/>
        <v>0.85000000000000009</v>
      </c>
      <c r="L45" s="14">
        <f t="shared" si="9"/>
        <v>8.5</v>
      </c>
      <c r="M45" s="14">
        <f t="shared" si="10"/>
        <v>117</v>
      </c>
    </row>
    <row r="46" spans="1:13" ht="15" customHeight="1" x14ac:dyDescent="0.3">
      <c r="A46" s="5">
        <v>118</v>
      </c>
      <c r="B46" s="5">
        <v>18</v>
      </c>
      <c r="C46" s="17">
        <f t="shared" si="0"/>
        <v>8.9999999999999993E-3</v>
      </c>
      <c r="D46" s="14">
        <f t="shared" si="1"/>
        <v>1.7999999999999999E-2</v>
      </c>
      <c r="E46" s="14">
        <f t="shared" si="2"/>
        <v>3.5999999999999997E-2</v>
      </c>
      <c r="F46" s="14">
        <f t="shared" si="3"/>
        <v>7.1999999999999995E-2</v>
      </c>
      <c r="G46" s="14">
        <f t="shared" si="4"/>
        <v>0.09</v>
      </c>
      <c r="H46" s="14">
        <f t="shared" si="5"/>
        <v>0.18</v>
      </c>
      <c r="I46" s="14">
        <f t="shared" si="6"/>
        <v>0.36</v>
      </c>
      <c r="J46" s="14">
        <f t="shared" si="7"/>
        <v>0.72</v>
      </c>
      <c r="K46" s="14">
        <f t="shared" si="8"/>
        <v>0.89999999999999991</v>
      </c>
      <c r="L46" s="14">
        <f t="shared" si="9"/>
        <v>9</v>
      </c>
      <c r="M46" s="14">
        <f t="shared" si="10"/>
        <v>118</v>
      </c>
    </row>
    <row r="47" spans="1:13" ht="15" customHeight="1" x14ac:dyDescent="0.3">
      <c r="A47" s="5">
        <v>119</v>
      </c>
      <c r="B47" s="5">
        <v>19</v>
      </c>
      <c r="C47" s="17">
        <f t="shared" si="0"/>
        <v>9.5000000000000015E-3</v>
      </c>
      <c r="D47" s="14">
        <f t="shared" si="1"/>
        <v>1.9000000000000003E-2</v>
      </c>
      <c r="E47" s="14">
        <f t="shared" si="2"/>
        <v>3.8000000000000006E-2</v>
      </c>
      <c r="F47" s="14">
        <f t="shared" si="3"/>
        <v>7.6000000000000012E-2</v>
      </c>
      <c r="G47" s="14">
        <f t="shared" si="4"/>
        <v>9.5000000000000015E-2</v>
      </c>
      <c r="H47" s="14">
        <f t="shared" si="5"/>
        <v>0.19000000000000003</v>
      </c>
      <c r="I47" s="14">
        <f t="shared" si="6"/>
        <v>0.38000000000000006</v>
      </c>
      <c r="J47" s="14">
        <f t="shared" si="7"/>
        <v>0.76000000000000012</v>
      </c>
      <c r="K47" s="14">
        <f t="shared" si="8"/>
        <v>0.95000000000000018</v>
      </c>
      <c r="L47" s="14">
        <f t="shared" si="9"/>
        <v>9.5000000000000018</v>
      </c>
      <c r="M47" s="14">
        <f t="shared" si="10"/>
        <v>119</v>
      </c>
    </row>
    <row r="48" spans="1:13" ht="15" customHeight="1" x14ac:dyDescent="0.3">
      <c r="A48" s="7">
        <v>120</v>
      </c>
      <c r="B48" s="5">
        <v>20</v>
      </c>
      <c r="C48" s="20">
        <f t="shared" si="0"/>
        <v>1.0000000000000002E-2</v>
      </c>
      <c r="D48" s="15">
        <f t="shared" si="1"/>
        <v>2.0000000000000004E-2</v>
      </c>
      <c r="E48" s="15">
        <f t="shared" si="2"/>
        <v>4.0000000000000008E-2</v>
      </c>
      <c r="F48" s="15">
        <f t="shared" si="3"/>
        <v>8.0000000000000016E-2</v>
      </c>
      <c r="G48" s="15">
        <f t="shared" si="4"/>
        <v>0.10000000000000002</v>
      </c>
      <c r="H48" s="15">
        <f t="shared" si="5"/>
        <v>0.20000000000000004</v>
      </c>
      <c r="I48" s="15">
        <f t="shared" si="6"/>
        <v>0.40000000000000008</v>
      </c>
      <c r="J48" s="15">
        <f t="shared" si="7"/>
        <v>0.80000000000000016</v>
      </c>
      <c r="K48" s="15">
        <f t="shared" si="8"/>
        <v>1.0000000000000002</v>
      </c>
      <c r="L48" s="15">
        <f t="shared" si="9"/>
        <v>10.000000000000002</v>
      </c>
      <c r="M48" s="14">
        <f t="shared" si="10"/>
        <v>120</v>
      </c>
    </row>
    <row r="49" spans="1:13" ht="15" customHeight="1" x14ac:dyDescent="0.3">
      <c r="A49" s="5">
        <v>121</v>
      </c>
      <c r="B49" s="5">
        <v>21</v>
      </c>
      <c r="C49" s="17">
        <f t="shared" si="0"/>
        <v>1.0500000000000001E-2</v>
      </c>
      <c r="D49" s="14">
        <f t="shared" si="1"/>
        <v>2.1000000000000001E-2</v>
      </c>
      <c r="E49" s="14">
        <f t="shared" si="2"/>
        <v>4.2000000000000003E-2</v>
      </c>
      <c r="F49" s="14">
        <f t="shared" si="3"/>
        <v>8.4000000000000005E-2</v>
      </c>
      <c r="G49" s="14">
        <f t="shared" si="4"/>
        <v>0.10500000000000001</v>
      </c>
      <c r="H49" s="14">
        <f t="shared" si="5"/>
        <v>0.21000000000000002</v>
      </c>
      <c r="I49" s="14">
        <f t="shared" si="6"/>
        <v>0.42000000000000004</v>
      </c>
      <c r="J49" s="14">
        <f t="shared" si="7"/>
        <v>0.84000000000000008</v>
      </c>
      <c r="K49" s="14">
        <f t="shared" si="8"/>
        <v>1.05</v>
      </c>
      <c r="L49" s="14">
        <f t="shared" si="9"/>
        <v>10.5</v>
      </c>
      <c r="M49" s="14">
        <f t="shared" si="10"/>
        <v>121</v>
      </c>
    </row>
    <row r="50" spans="1:13" ht="15" customHeight="1" x14ac:dyDescent="0.3">
      <c r="A50" s="5">
        <v>122</v>
      </c>
      <c r="B50" s="5">
        <v>22</v>
      </c>
      <c r="C50" s="17">
        <f t="shared" si="0"/>
        <v>1.1000000000000001E-2</v>
      </c>
      <c r="D50" s="14">
        <f t="shared" si="1"/>
        <v>2.2000000000000002E-2</v>
      </c>
      <c r="E50" s="14">
        <f t="shared" si="2"/>
        <v>4.4000000000000004E-2</v>
      </c>
      <c r="F50" s="14">
        <f t="shared" si="3"/>
        <v>8.8000000000000009E-2</v>
      </c>
      <c r="G50" s="14">
        <f t="shared" si="4"/>
        <v>0.11000000000000001</v>
      </c>
      <c r="H50" s="14">
        <f t="shared" si="5"/>
        <v>0.22000000000000003</v>
      </c>
      <c r="I50" s="14">
        <f t="shared" si="6"/>
        <v>0.44000000000000006</v>
      </c>
      <c r="J50" s="14">
        <f t="shared" si="7"/>
        <v>0.88000000000000012</v>
      </c>
      <c r="K50" s="14">
        <f t="shared" si="8"/>
        <v>1.1000000000000001</v>
      </c>
      <c r="L50" s="14">
        <f t="shared" si="9"/>
        <v>11.000000000000002</v>
      </c>
      <c r="M50" s="14">
        <f t="shared" si="10"/>
        <v>122</v>
      </c>
    </row>
    <row r="51" spans="1:13" ht="15" customHeight="1" x14ac:dyDescent="0.3">
      <c r="A51" s="5">
        <v>123</v>
      </c>
      <c r="B51" s="5">
        <v>23</v>
      </c>
      <c r="C51" s="17">
        <f t="shared" si="0"/>
        <v>1.1500000000000002E-2</v>
      </c>
      <c r="D51" s="14">
        <f t="shared" si="1"/>
        <v>2.3000000000000003E-2</v>
      </c>
      <c r="E51" s="14">
        <f t="shared" si="2"/>
        <v>4.6000000000000006E-2</v>
      </c>
      <c r="F51" s="14">
        <f t="shared" si="3"/>
        <v>9.2000000000000012E-2</v>
      </c>
      <c r="G51" s="14">
        <f t="shared" si="4"/>
        <v>0.11500000000000002</v>
      </c>
      <c r="H51" s="14">
        <f t="shared" si="5"/>
        <v>0.23000000000000004</v>
      </c>
      <c r="I51" s="14">
        <f t="shared" si="6"/>
        <v>0.46000000000000008</v>
      </c>
      <c r="J51" s="14">
        <f t="shared" si="7"/>
        <v>0.92000000000000015</v>
      </c>
      <c r="K51" s="14">
        <f t="shared" si="8"/>
        <v>1.1500000000000001</v>
      </c>
      <c r="L51" s="14">
        <f t="shared" si="9"/>
        <v>11.500000000000002</v>
      </c>
      <c r="M51" s="14">
        <f t="shared" si="10"/>
        <v>123</v>
      </c>
    </row>
    <row r="52" spans="1:13" ht="15" customHeight="1" x14ac:dyDescent="0.3">
      <c r="A52" s="5">
        <v>124</v>
      </c>
      <c r="B52" s="5">
        <v>24</v>
      </c>
      <c r="C52" s="17">
        <f t="shared" si="0"/>
        <v>1.2E-2</v>
      </c>
      <c r="D52" s="14">
        <f t="shared" si="1"/>
        <v>2.4E-2</v>
      </c>
      <c r="E52" s="14">
        <f t="shared" si="2"/>
        <v>4.8000000000000001E-2</v>
      </c>
      <c r="F52" s="14">
        <f t="shared" si="3"/>
        <v>9.6000000000000002E-2</v>
      </c>
      <c r="G52" s="14">
        <f t="shared" si="4"/>
        <v>0.12</v>
      </c>
      <c r="H52" s="14">
        <f t="shared" si="5"/>
        <v>0.24</v>
      </c>
      <c r="I52" s="14">
        <f t="shared" si="6"/>
        <v>0.48</v>
      </c>
      <c r="J52" s="14">
        <f t="shared" si="7"/>
        <v>0.96</v>
      </c>
      <c r="K52" s="14">
        <f t="shared" si="8"/>
        <v>1.2</v>
      </c>
      <c r="L52" s="14">
        <f t="shared" si="9"/>
        <v>12</v>
      </c>
      <c r="M52" s="14">
        <f t="shared" si="10"/>
        <v>124</v>
      </c>
    </row>
    <row r="53" spans="1:13" ht="15" customHeight="1" x14ac:dyDescent="0.3">
      <c r="A53" s="5">
        <v>125</v>
      </c>
      <c r="B53" s="5">
        <v>25</v>
      </c>
      <c r="C53" s="17">
        <f t="shared" si="0"/>
        <v>1.2500000000000001E-2</v>
      </c>
      <c r="D53" s="14">
        <f t="shared" si="1"/>
        <v>2.5000000000000001E-2</v>
      </c>
      <c r="E53" s="14">
        <f t="shared" si="2"/>
        <v>0.05</v>
      </c>
      <c r="F53" s="14">
        <f t="shared" si="3"/>
        <v>0.1</v>
      </c>
      <c r="G53" s="14">
        <f t="shared" si="4"/>
        <v>0.125</v>
      </c>
      <c r="H53" s="14">
        <f t="shared" si="5"/>
        <v>0.25</v>
      </c>
      <c r="I53" s="14">
        <f t="shared" si="6"/>
        <v>0.5</v>
      </c>
      <c r="J53" s="14">
        <f t="shared" si="7"/>
        <v>1</v>
      </c>
      <c r="K53" s="14">
        <f t="shared" si="8"/>
        <v>1.25</v>
      </c>
      <c r="L53" s="14">
        <f t="shared" si="9"/>
        <v>12.5</v>
      </c>
      <c r="M53" s="14">
        <f t="shared" si="10"/>
        <v>125</v>
      </c>
    </row>
  </sheetData>
  <mergeCells count="1">
    <mergeCell ref="A1:L1"/>
  </mergeCells>
  <phoneticPr fontId="1" type="noConversion"/>
  <pageMargins left="0.52" right="0.70866141732283472" top="0.43307086614173229" bottom="0.27559055118110237" header="0.31496062992125984" footer="0.31496062992125984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0601D-8376-400D-8F3C-354F0FBCC262}">
  <dimension ref="A1:M63"/>
  <sheetViews>
    <sheetView tabSelected="1" view="pageBreakPreview" zoomScaleNormal="100" zoomScaleSheetLayoutView="100" workbookViewId="0">
      <selection sqref="A1:J1"/>
    </sheetView>
  </sheetViews>
  <sheetFormatPr defaultRowHeight="12" x14ac:dyDescent="0.3"/>
  <cols>
    <col min="1" max="2" width="10" style="2" customWidth="1"/>
    <col min="3" max="8" width="9" style="2"/>
    <col min="9" max="9" width="9.875" style="2" customWidth="1"/>
    <col min="10" max="10" width="10.125" style="2" customWidth="1"/>
    <col min="11" max="16384" width="9" style="2"/>
  </cols>
  <sheetData>
    <row r="1" spans="1:13" ht="24.95" customHeight="1" x14ac:dyDescent="0.3">
      <c r="A1" s="32" t="s">
        <v>1</v>
      </c>
      <c r="B1" s="32"/>
      <c r="C1" s="32"/>
      <c r="D1" s="32"/>
      <c r="E1" s="32"/>
      <c r="F1" s="32"/>
      <c r="G1" s="32"/>
      <c r="H1" s="32"/>
      <c r="I1" s="32"/>
      <c r="J1" s="32"/>
    </row>
    <row r="2" spans="1:13" ht="24" x14ac:dyDescent="0.3">
      <c r="A2" s="11" t="s">
        <v>0</v>
      </c>
      <c r="B2" s="12"/>
      <c r="C2" s="1">
        <v>1</v>
      </c>
      <c r="D2" s="1">
        <v>2</v>
      </c>
      <c r="E2" s="1">
        <v>4</v>
      </c>
      <c r="F2" s="1">
        <v>8</v>
      </c>
      <c r="G2" s="1">
        <v>10</v>
      </c>
      <c r="H2" s="1">
        <v>20</v>
      </c>
      <c r="I2" s="1">
        <v>40</v>
      </c>
      <c r="J2" s="1">
        <v>80</v>
      </c>
      <c r="K2" s="21">
        <v>100</v>
      </c>
      <c r="L2" s="21">
        <v>1000</v>
      </c>
      <c r="M2" s="1">
        <v>10</v>
      </c>
    </row>
    <row r="3" spans="1:13" x14ac:dyDescent="0.3">
      <c r="A3" s="3">
        <v>320</v>
      </c>
      <c r="B3" s="1">
        <v>-30</v>
      </c>
      <c r="C3" s="4">
        <f>(3.5/2)*(B3/350)*1</f>
        <v>-0.15</v>
      </c>
      <c r="D3" s="4">
        <f>C3*2</f>
        <v>-0.3</v>
      </c>
      <c r="E3" s="4">
        <f>C3*4</f>
        <v>-0.6</v>
      </c>
      <c r="F3" s="4">
        <f>C3*8</f>
        <v>-1.2</v>
      </c>
      <c r="G3" s="4">
        <f>C3*10</f>
        <v>-1.5</v>
      </c>
      <c r="H3" s="4">
        <f>C3*20</f>
        <v>-3</v>
      </c>
      <c r="I3" s="4">
        <f>C3*40</f>
        <v>-6</v>
      </c>
      <c r="J3" s="4">
        <f>C3*80</f>
        <v>-12</v>
      </c>
      <c r="K3" s="24">
        <f>C3*100</f>
        <v>-15</v>
      </c>
      <c r="L3" s="24">
        <f>C3*1000</f>
        <v>-150</v>
      </c>
      <c r="M3" s="4">
        <f>G3*20+350</f>
        <v>320</v>
      </c>
    </row>
    <row r="4" spans="1:13" x14ac:dyDescent="0.3">
      <c r="A4" s="1">
        <v>321</v>
      </c>
      <c r="B4" s="1">
        <v>-29</v>
      </c>
      <c r="C4" s="22">
        <f t="shared" ref="C4:C63" si="0">(3.5/2)*(B4/350)*1</f>
        <v>-0.14499999999999999</v>
      </c>
      <c r="D4" s="22">
        <f t="shared" ref="D4:D63" si="1">C4*2</f>
        <v>-0.28999999999999998</v>
      </c>
      <c r="E4" s="22">
        <f t="shared" ref="E4:E63" si="2">C4*4</f>
        <v>-0.57999999999999996</v>
      </c>
      <c r="F4" s="22">
        <f t="shared" ref="F4:F63" si="3">C4*8</f>
        <v>-1.1599999999999999</v>
      </c>
      <c r="G4" s="22">
        <f t="shared" ref="G4:G63" si="4">C4*10</f>
        <v>-1.45</v>
      </c>
      <c r="H4" s="22">
        <f t="shared" ref="H4:H62" si="5">C4*20</f>
        <v>-2.9</v>
      </c>
      <c r="I4" s="22">
        <f t="shared" ref="I4:I63" si="6">C4*40</f>
        <v>-5.8</v>
      </c>
      <c r="J4" s="22">
        <f t="shared" ref="J4:J63" si="7">C4*80</f>
        <v>-11.6</v>
      </c>
      <c r="K4" s="23">
        <f t="shared" ref="K4:K63" si="8">C4*100</f>
        <v>-14.499999999999998</v>
      </c>
      <c r="L4" s="23">
        <f t="shared" ref="L4:L63" si="9">C4*1000</f>
        <v>-145</v>
      </c>
      <c r="M4" s="4">
        <f t="shared" ref="M4:M63" si="10">G4*20+350</f>
        <v>321</v>
      </c>
    </row>
    <row r="5" spans="1:13" x14ac:dyDescent="0.3">
      <c r="A5" s="1">
        <v>322</v>
      </c>
      <c r="B5" s="1">
        <v>-28</v>
      </c>
      <c r="C5" s="22">
        <f t="shared" si="0"/>
        <v>-0.14000000000000001</v>
      </c>
      <c r="D5" s="22">
        <f t="shared" si="1"/>
        <v>-0.28000000000000003</v>
      </c>
      <c r="E5" s="22">
        <f t="shared" si="2"/>
        <v>-0.56000000000000005</v>
      </c>
      <c r="F5" s="22">
        <f t="shared" si="3"/>
        <v>-1.1200000000000001</v>
      </c>
      <c r="G5" s="22">
        <f t="shared" si="4"/>
        <v>-1.4000000000000001</v>
      </c>
      <c r="H5" s="22">
        <f t="shared" si="5"/>
        <v>-2.8000000000000003</v>
      </c>
      <c r="I5" s="22">
        <f t="shared" si="6"/>
        <v>-5.6000000000000005</v>
      </c>
      <c r="J5" s="22">
        <f t="shared" si="7"/>
        <v>-11.200000000000001</v>
      </c>
      <c r="K5" s="23">
        <f t="shared" si="8"/>
        <v>-14.000000000000002</v>
      </c>
      <c r="L5" s="23">
        <f t="shared" si="9"/>
        <v>-140</v>
      </c>
      <c r="M5" s="4">
        <f t="shared" si="10"/>
        <v>322</v>
      </c>
    </row>
    <row r="6" spans="1:13" x14ac:dyDescent="0.3">
      <c r="A6" s="1">
        <v>323</v>
      </c>
      <c r="B6" s="1">
        <v>-27</v>
      </c>
      <c r="C6" s="22">
        <f t="shared" si="0"/>
        <v>-0.13499999999999998</v>
      </c>
      <c r="D6" s="22">
        <f t="shared" si="1"/>
        <v>-0.26999999999999996</v>
      </c>
      <c r="E6" s="22">
        <f t="shared" si="2"/>
        <v>-0.53999999999999992</v>
      </c>
      <c r="F6" s="22">
        <f t="shared" si="3"/>
        <v>-1.0799999999999998</v>
      </c>
      <c r="G6" s="22">
        <f t="shared" si="4"/>
        <v>-1.3499999999999999</v>
      </c>
      <c r="H6" s="22">
        <f t="shared" si="5"/>
        <v>-2.6999999999999997</v>
      </c>
      <c r="I6" s="22">
        <f t="shared" si="6"/>
        <v>-5.3999999999999995</v>
      </c>
      <c r="J6" s="22">
        <f t="shared" si="7"/>
        <v>-10.799999999999999</v>
      </c>
      <c r="K6" s="23">
        <f t="shared" si="8"/>
        <v>-13.499999999999998</v>
      </c>
      <c r="L6" s="23">
        <f t="shared" si="9"/>
        <v>-134.99999999999997</v>
      </c>
      <c r="M6" s="4">
        <f t="shared" si="10"/>
        <v>323</v>
      </c>
    </row>
    <row r="7" spans="1:13" x14ac:dyDescent="0.3">
      <c r="A7" s="1">
        <v>324</v>
      </c>
      <c r="B7" s="1">
        <v>-26</v>
      </c>
      <c r="C7" s="22">
        <f t="shared" si="0"/>
        <v>-0.13</v>
      </c>
      <c r="D7" s="22">
        <f t="shared" si="1"/>
        <v>-0.26</v>
      </c>
      <c r="E7" s="22">
        <f t="shared" si="2"/>
        <v>-0.52</v>
      </c>
      <c r="F7" s="22">
        <f t="shared" si="3"/>
        <v>-1.04</v>
      </c>
      <c r="G7" s="22">
        <f t="shared" si="4"/>
        <v>-1.3</v>
      </c>
      <c r="H7" s="22">
        <f t="shared" si="5"/>
        <v>-2.6</v>
      </c>
      <c r="I7" s="22">
        <f t="shared" si="6"/>
        <v>-5.2</v>
      </c>
      <c r="J7" s="22">
        <f t="shared" si="7"/>
        <v>-10.4</v>
      </c>
      <c r="K7" s="23">
        <f t="shared" si="8"/>
        <v>-13</v>
      </c>
      <c r="L7" s="23">
        <f t="shared" si="9"/>
        <v>-130</v>
      </c>
      <c r="M7" s="4">
        <f t="shared" si="10"/>
        <v>324</v>
      </c>
    </row>
    <row r="8" spans="1:13" x14ac:dyDescent="0.3">
      <c r="A8" s="1">
        <v>325</v>
      </c>
      <c r="B8" s="1">
        <v>-25</v>
      </c>
      <c r="C8" s="22">
        <f t="shared" si="0"/>
        <v>-0.125</v>
      </c>
      <c r="D8" s="22">
        <f t="shared" si="1"/>
        <v>-0.25</v>
      </c>
      <c r="E8" s="22">
        <f t="shared" si="2"/>
        <v>-0.5</v>
      </c>
      <c r="F8" s="22">
        <f t="shared" si="3"/>
        <v>-1</v>
      </c>
      <c r="G8" s="22">
        <f t="shared" si="4"/>
        <v>-1.25</v>
      </c>
      <c r="H8" s="22">
        <f t="shared" si="5"/>
        <v>-2.5</v>
      </c>
      <c r="I8" s="25">
        <f t="shared" si="6"/>
        <v>-5</v>
      </c>
      <c r="J8" s="22">
        <f t="shared" si="7"/>
        <v>-10</v>
      </c>
      <c r="K8" s="23">
        <f t="shared" si="8"/>
        <v>-12.5</v>
      </c>
      <c r="L8" s="23">
        <f t="shared" si="9"/>
        <v>-125</v>
      </c>
      <c r="M8" s="4">
        <f t="shared" si="10"/>
        <v>325</v>
      </c>
    </row>
    <row r="9" spans="1:13" x14ac:dyDescent="0.3">
      <c r="A9" s="1">
        <v>326</v>
      </c>
      <c r="B9" s="1">
        <v>-24</v>
      </c>
      <c r="C9" s="22">
        <f t="shared" si="0"/>
        <v>-0.12000000000000001</v>
      </c>
      <c r="D9" s="22">
        <f t="shared" si="1"/>
        <v>-0.24000000000000002</v>
      </c>
      <c r="E9" s="22">
        <f t="shared" si="2"/>
        <v>-0.48000000000000004</v>
      </c>
      <c r="F9" s="22">
        <f t="shared" si="3"/>
        <v>-0.96000000000000008</v>
      </c>
      <c r="G9" s="22">
        <f t="shared" si="4"/>
        <v>-1.2000000000000002</v>
      </c>
      <c r="H9" s="22">
        <f t="shared" si="5"/>
        <v>-2.4000000000000004</v>
      </c>
      <c r="I9" s="22">
        <f t="shared" si="6"/>
        <v>-4.8000000000000007</v>
      </c>
      <c r="J9" s="22">
        <f t="shared" si="7"/>
        <v>-9.6000000000000014</v>
      </c>
      <c r="K9" s="23">
        <f t="shared" si="8"/>
        <v>-12.000000000000002</v>
      </c>
      <c r="L9" s="23">
        <f t="shared" si="9"/>
        <v>-120.00000000000001</v>
      </c>
      <c r="M9" s="4">
        <f t="shared" si="10"/>
        <v>326</v>
      </c>
    </row>
    <row r="10" spans="1:13" x14ac:dyDescent="0.3">
      <c r="A10" s="1">
        <v>327</v>
      </c>
      <c r="B10" s="1">
        <v>-23</v>
      </c>
      <c r="C10" s="22">
        <f t="shared" si="0"/>
        <v>-0.11499999999999999</v>
      </c>
      <c r="D10" s="22">
        <f t="shared" si="1"/>
        <v>-0.22999999999999998</v>
      </c>
      <c r="E10" s="22">
        <f t="shared" si="2"/>
        <v>-0.45999999999999996</v>
      </c>
      <c r="F10" s="22">
        <f t="shared" si="3"/>
        <v>-0.91999999999999993</v>
      </c>
      <c r="G10" s="22">
        <f t="shared" si="4"/>
        <v>-1.1499999999999999</v>
      </c>
      <c r="H10" s="22">
        <f t="shared" si="5"/>
        <v>-2.2999999999999998</v>
      </c>
      <c r="I10" s="22">
        <f t="shared" si="6"/>
        <v>-4.5999999999999996</v>
      </c>
      <c r="J10" s="22">
        <f t="shared" si="7"/>
        <v>-9.1999999999999993</v>
      </c>
      <c r="K10" s="23">
        <f t="shared" si="8"/>
        <v>-11.5</v>
      </c>
      <c r="L10" s="23">
        <f t="shared" si="9"/>
        <v>-114.99999999999999</v>
      </c>
      <c r="M10" s="4">
        <f t="shared" si="10"/>
        <v>327</v>
      </c>
    </row>
    <row r="11" spans="1:13" x14ac:dyDescent="0.3">
      <c r="A11" s="1">
        <v>328</v>
      </c>
      <c r="B11" s="1">
        <v>-22</v>
      </c>
      <c r="C11" s="22">
        <f t="shared" si="0"/>
        <v>-0.11000000000000001</v>
      </c>
      <c r="D11" s="22">
        <f t="shared" si="1"/>
        <v>-0.22000000000000003</v>
      </c>
      <c r="E11" s="22">
        <f t="shared" si="2"/>
        <v>-0.44000000000000006</v>
      </c>
      <c r="F11" s="22">
        <f t="shared" si="3"/>
        <v>-0.88000000000000012</v>
      </c>
      <c r="G11" s="22">
        <f t="shared" si="4"/>
        <v>-1.1000000000000001</v>
      </c>
      <c r="H11" s="22">
        <f t="shared" si="5"/>
        <v>-2.2000000000000002</v>
      </c>
      <c r="I11" s="22">
        <f t="shared" si="6"/>
        <v>-4.4000000000000004</v>
      </c>
      <c r="J11" s="22">
        <f t="shared" si="7"/>
        <v>-8.8000000000000007</v>
      </c>
      <c r="K11" s="23">
        <f t="shared" si="8"/>
        <v>-11.000000000000002</v>
      </c>
      <c r="L11" s="23">
        <f t="shared" si="9"/>
        <v>-110.00000000000001</v>
      </c>
      <c r="M11" s="4">
        <f t="shared" si="10"/>
        <v>328</v>
      </c>
    </row>
    <row r="12" spans="1:13" x14ac:dyDescent="0.3">
      <c r="A12" s="1">
        <v>329</v>
      </c>
      <c r="B12" s="1">
        <v>-21</v>
      </c>
      <c r="C12" s="22">
        <f t="shared" si="0"/>
        <v>-0.105</v>
      </c>
      <c r="D12" s="22">
        <f t="shared" si="1"/>
        <v>-0.21</v>
      </c>
      <c r="E12" s="22">
        <f t="shared" si="2"/>
        <v>-0.42</v>
      </c>
      <c r="F12" s="22">
        <f t="shared" si="3"/>
        <v>-0.84</v>
      </c>
      <c r="G12" s="22">
        <f t="shared" si="4"/>
        <v>-1.05</v>
      </c>
      <c r="H12" s="22">
        <f t="shared" si="5"/>
        <v>-2.1</v>
      </c>
      <c r="I12" s="22">
        <f t="shared" si="6"/>
        <v>-4.2</v>
      </c>
      <c r="J12" s="22">
        <f t="shared" si="7"/>
        <v>-8.4</v>
      </c>
      <c r="K12" s="23">
        <f t="shared" si="8"/>
        <v>-10.5</v>
      </c>
      <c r="L12" s="23">
        <f t="shared" si="9"/>
        <v>-105</v>
      </c>
      <c r="M12" s="4">
        <f t="shared" si="10"/>
        <v>329</v>
      </c>
    </row>
    <row r="13" spans="1:13" x14ac:dyDescent="0.3">
      <c r="A13" s="3">
        <v>330</v>
      </c>
      <c r="B13" s="1">
        <v>-20</v>
      </c>
      <c r="C13" s="4">
        <f t="shared" si="0"/>
        <v>-9.9999999999999992E-2</v>
      </c>
      <c r="D13" s="4">
        <f t="shared" si="1"/>
        <v>-0.19999999999999998</v>
      </c>
      <c r="E13" s="4">
        <f t="shared" si="2"/>
        <v>-0.39999999999999997</v>
      </c>
      <c r="F13" s="4">
        <f t="shared" si="3"/>
        <v>-0.79999999999999993</v>
      </c>
      <c r="G13" s="4">
        <f t="shared" si="4"/>
        <v>-0.99999999999999989</v>
      </c>
      <c r="H13" s="4">
        <f t="shared" si="5"/>
        <v>-1.9999999999999998</v>
      </c>
      <c r="I13" s="4">
        <f t="shared" si="6"/>
        <v>-3.9999999999999996</v>
      </c>
      <c r="J13" s="4">
        <f t="shared" si="7"/>
        <v>-7.9999999999999991</v>
      </c>
      <c r="K13" s="24">
        <f t="shared" si="8"/>
        <v>-10</v>
      </c>
      <c r="L13" s="24">
        <f t="shared" si="9"/>
        <v>-99.999999999999986</v>
      </c>
      <c r="M13" s="4">
        <f t="shared" si="10"/>
        <v>330</v>
      </c>
    </row>
    <row r="14" spans="1:13" x14ac:dyDescent="0.3">
      <c r="A14" s="1">
        <v>331</v>
      </c>
      <c r="B14" s="1">
        <v>-19</v>
      </c>
      <c r="C14" s="22">
        <f t="shared" si="0"/>
        <v>-9.5000000000000001E-2</v>
      </c>
      <c r="D14" s="22">
        <f t="shared" si="1"/>
        <v>-0.19</v>
      </c>
      <c r="E14" s="22">
        <f t="shared" si="2"/>
        <v>-0.38</v>
      </c>
      <c r="F14" s="22">
        <f t="shared" si="3"/>
        <v>-0.76</v>
      </c>
      <c r="G14" s="22">
        <f t="shared" si="4"/>
        <v>-0.95</v>
      </c>
      <c r="H14" s="22">
        <f t="shared" si="5"/>
        <v>-1.9</v>
      </c>
      <c r="I14" s="22">
        <f t="shared" si="6"/>
        <v>-3.8</v>
      </c>
      <c r="J14" s="22">
        <f t="shared" si="7"/>
        <v>-7.6</v>
      </c>
      <c r="K14" s="23">
        <f t="shared" si="8"/>
        <v>-9.5</v>
      </c>
      <c r="L14" s="23">
        <f t="shared" si="9"/>
        <v>-95</v>
      </c>
      <c r="M14" s="4">
        <f t="shared" si="10"/>
        <v>331</v>
      </c>
    </row>
    <row r="15" spans="1:13" x14ac:dyDescent="0.3">
      <c r="A15" s="1">
        <v>332</v>
      </c>
      <c r="B15" s="1">
        <v>-18</v>
      </c>
      <c r="C15" s="22">
        <f t="shared" si="0"/>
        <v>-0.09</v>
      </c>
      <c r="D15" s="22">
        <f t="shared" si="1"/>
        <v>-0.18</v>
      </c>
      <c r="E15" s="22">
        <f t="shared" si="2"/>
        <v>-0.36</v>
      </c>
      <c r="F15" s="22">
        <f t="shared" si="3"/>
        <v>-0.72</v>
      </c>
      <c r="G15" s="22">
        <f t="shared" si="4"/>
        <v>-0.89999999999999991</v>
      </c>
      <c r="H15" s="22">
        <f t="shared" si="5"/>
        <v>-1.7999999999999998</v>
      </c>
      <c r="I15" s="22">
        <f t="shared" si="6"/>
        <v>-3.5999999999999996</v>
      </c>
      <c r="J15" s="22">
        <f t="shared" si="7"/>
        <v>-7.1999999999999993</v>
      </c>
      <c r="K15" s="23">
        <f t="shared" si="8"/>
        <v>-9</v>
      </c>
      <c r="L15" s="23">
        <f t="shared" si="9"/>
        <v>-90</v>
      </c>
      <c r="M15" s="4">
        <f t="shared" si="10"/>
        <v>332</v>
      </c>
    </row>
    <row r="16" spans="1:13" x14ac:dyDescent="0.3">
      <c r="A16" s="1">
        <v>333</v>
      </c>
      <c r="B16" s="1">
        <v>-17</v>
      </c>
      <c r="C16" s="22">
        <f t="shared" si="0"/>
        <v>-8.4999999999999992E-2</v>
      </c>
      <c r="D16" s="22">
        <f t="shared" si="1"/>
        <v>-0.16999999999999998</v>
      </c>
      <c r="E16" s="22">
        <f t="shared" si="2"/>
        <v>-0.33999999999999997</v>
      </c>
      <c r="F16" s="22">
        <f t="shared" si="3"/>
        <v>-0.67999999999999994</v>
      </c>
      <c r="G16" s="22">
        <f t="shared" si="4"/>
        <v>-0.84999999999999987</v>
      </c>
      <c r="H16" s="22">
        <f t="shared" si="5"/>
        <v>-1.6999999999999997</v>
      </c>
      <c r="I16" s="22">
        <f t="shared" si="6"/>
        <v>-3.3999999999999995</v>
      </c>
      <c r="J16" s="22">
        <f t="shared" si="7"/>
        <v>-6.7999999999999989</v>
      </c>
      <c r="K16" s="23">
        <f t="shared" si="8"/>
        <v>-8.5</v>
      </c>
      <c r="L16" s="23">
        <f t="shared" si="9"/>
        <v>-84.999999999999986</v>
      </c>
      <c r="M16" s="4">
        <f t="shared" si="10"/>
        <v>333</v>
      </c>
    </row>
    <row r="17" spans="1:13" x14ac:dyDescent="0.3">
      <c r="A17" s="1">
        <v>334</v>
      </c>
      <c r="B17" s="1">
        <v>-16</v>
      </c>
      <c r="C17" s="22">
        <f t="shared" si="0"/>
        <v>-0.08</v>
      </c>
      <c r="D17" s="22">
        <f t="shared" si="1"/>
        <v>-0.16</v>
      </c>
      <c r="E17" s="22">
        <f t="shared" si="2"/>
        <v>-0.32</v>
      </c>
      <c r="F17" s="22">
        <f t="shared" si="3"/>
        <v>-0.64</v>
      </c>
      <c r="G17" s="22">
        <f t="shared" si="4"/>
        <v>-0.8</v>
      </c>
      <c r="H17" s="22">
        <f t="shared" si="5"/>
        <v>-1.6</v>
      </c>
      <c r="I17" s="22">
        <f t="shared" si="6"/>
        <v>-3.2</v>
      </c>
      <c r="J17" s="22">
        <f t="shared" si="7"/>
        <v>-6.4</v>
      </c>
      <c r="K17" s="23">
        <f t="shared" si="8"/>
        <v>-8</v>
      </c>
      <c r="L17" s="23">
        <f t="shared" si="9"/>
        <v>-80</v>
      </c>
      <c r="M17" s="4">
        <f t="shared" si="10"/>
        <v>334</v>
      </c>
    </row>
    <row r="18" spans="1:13" x14ac:dyDescent="0.3">
      <c r="A18" s="1">
        <v>335</v>
      </c>
      <c r="B18" s="1">
        <v>-15</v>
      </c>
      <c r="C18" s="22">
        <f t="shared" si="0"/>
        <v>-7.4999999999999997E-2</v>
      </c>
      <c r="D18" s="22">
        <f t="shared" si="1"/>
        <v>-0.15</v>
      </c>
      <c r="E18" s="22">
        <f t="shared" si="2"/>
        <v>-0.3</v>
      </c>
      <c r="F18" s="22">
        <f t="shared" si="3"/>
        <v>-0.6</v>
      </c>
      <c r="G18" s="22">
        <f t="shared" si="4"/>
        <v>-0.75</v>
      </c>
      <c r="H18" s="22">
        <f t="shared" si="5"/>
        <v>-1.5</v>
      </c>
      <c r="I18" s="22">
        <f t="shared" si="6"/>
        <v>-3</v>
      </c>
      <c r="J18" s="22">
        <f t="shared" si="7"/>
        <v>-6</v>
      </c>
      <c r="K18" s="23">
        <f t="shared" si="8"/>
        <v>-7.5</v>
      </c>
      <c r="L18" s="23">
        <f t="shared" si="9"/>
        <v>-75</v>
      </c>
      <c r="M18" s="4">
        <f t="shared" si="10"/>
        <v>335</v>
      </c>
    </row>
    <row r="19" spans="1:13" x14ac:dyDescent="0.3">
      <c r="A19" s="1">
        <v>336</v>
      </c>
      <c r="B19" s="1">
        <v>-14</v>
      </c>
      <c r="C19" s="22">
        <f t="shared" si="0"/>
        <v>-7.0000000000000007E-2</v>
      </c>
      <c r="D19" s="22">
        <f t="shared" si="1"/>
        <v>-0.14000000000000001</v>
      </c>
      <c r="E19" s="22">
        <f t="shared" si="2"/>
        <v>-0.28000000000000003</v>
      </c>
      <c r="F19" s="22">
        <f t="shared" si="3"/>
        <v>-0.56000000000000005</v>
      </c>
      <c r="G19" s="22">
        <f t="shared" si="4"/>
        <v>-0.70000000000000007</v>
      </c>
      <c r="H19" s="22">
        <f t="shared" si="5"/>
        <v>-1.4000000000000001</v>
      </c>
      <c r="I19" s="22">
        <f t="shared" si="6"/>
        <v>-2.8000000000000003</v>
      </c>
      <c r="J19" s="22">
        <f t="shared" si="7"/>
        <v>-5.6000000000000005</v>
      </c>
      <c r="K19" s="23">
        <f t="shared" si="8"/>
        <v>-7.0000000000000009</v>
      </c>
      <c r="L19" s="23">
        <f t="shared" si="9"/>
        <v>-70</v>
      </c>
      <c r="M19" s="4">
        <f t="shared" si="10"/>
        <v>336</v>
      </c>
    </row>
    <row r="20" spans="1:13" x14ac:dyDescent="0.3">
      <c r="A20" s="1">
        <v>337</v>
      </c>
      <c r="B20" s="1">
        <v>-13</v>
      </c>
      <c r="C20" s="22">
        <f t="shared" si="0"/>
        <v>-6.5000000000000002E-2</v>
      </c>
      <c r="D20" s="22">
        <f t="shared" si="1"/>
        <v>-0.13</v>
      </c>
      <c r="E20" s="22">
        <f t="shared" si="2"/>
        <v>-0.26</v>
      </c>
      <c r="F20" s="22">
        <f t="shared" si="3"/>
        <v>-0.52</v>
      </c>
      <c r="G20" s="22">
        <f t="shared" si="4"/>
        <v>-0.65</v>
      </c>
      <c r="H20" s="22">
        <f t="shared" si="5"/>
        <v>-1.3</v>
      </c>
      <c r="I20" s="22">
        <f t="shared" si="6"/>
        <v>-2.6</v>
      </c>
      <c r="J20" s="25">
        <f t="shared" si="7"/>
        <v>-5.2</v>
      </c>
      <c r="K20" s="23">
        <f t="shared" si="8"/>
        <v>-6.5</v>
      </c>
      <c r="L20" s="23">
        <f t="shared" si="9"/>
        <v>-65</v>
      </c>
      <c r="M20" s="4">
        <f t="shared" si="10"/>
        <v>337</v>
      </c>
    </row>
    <row r="21" spans="1:13" x14ac:dyDescent="0.3">
      <c r="A21" s="1">
        <v>338</v>
      </c>
      <c r="B21" s="1">
        <v>-12</v>
      </c>
      <c r="C21" s="22">
        <f t="shared" si="0"/>
        <v>-6.0000000000000005E-2</v>
      </c>
      <c r="D21" s="22">
        <f t="shared" si="1"/>
        <v>-0.12000000000000001</v>
      </c>
      <c r="E21" s="22">
        <f t="shared" si="2"/>
        <v>-0.24000000000000002</v>
      </c>
      <c r="F21" s="22">
        <f t="shared" si="3"/>
        <v>-0.48000000000000004</v>
      </c>
      <c r="G21" s="22">
        <f t="shared" si="4"/>
        <v>-0.60000000000000009</v>
      </c>
      <c r="H21" s="22">
        <f t="shared" si="5"/>
        <v>-1.2000000000000002</v>
      </c>
      <c r="I21" s="22">
        <f t="shared" si="6"/>
        <v>-2.4000000000000004</v>
      </c>
      <c r="J21" s="22">
        <f t="shared" si="7"/>
        <v>-4.8000000000000007</v>
      </c>
      <c r="K21" s="23">
        <f t="shared" si="8"/>
        <v>-6.0000000000000009</v>
      </c>
      <c r="L21" s="23">
        <f t="shared" si="9"/>
        <v>-60.000000000000007</v>
      </c>
      <c r="M21" s="4">
        <f t="shared" si="10"/>
        <v>338</v>
      </c>
    </row>
    <row r="22" spans="1:13" x14ac:dyDescent="0.3">
      <c r="A22" s="1">
        <v>339</v>
      </c>
      <c r="B22" s="1">
        <v>-11</v>
      </c>
      <c r="C22" s="22">
        <f t="shared" si="0"/>
        <v>-5.5000000000000007E-2</v>
      </c>
      <c r="D22" s="22">
        <f t="shared" si="1"/>
        <v>-0.11000000000000001</v>
      </c>
      <c r="E22" s="22">
        <f t="shared" si="2"/>
        <v>-0.22000000000000003</v>
      </c>
      <c r="F22" s="22">
        <f t="shared" si="3"/>
        <v>-0.44000000000000006</v>
      </c>
      <c r="G22" s="22">
        <f t="shared" si="4"/>
        <v>-0.55000000000000004</v>
      </c>
      <c r="H22" s="22">
        <f t="shared" si="5"/>
        <v>-1.1000000000000001</v>
      </c>
      <c r="I22" s="22">
        <f t="shared" si="6"/>
        <v>-2.2000000000000002</v>
      </c>
      <c r="J22" s="22">
        <f t="shared" si="7"/>
        <v>-4.4000000000000004</v>
      </c>
      <c r="K22" s="23">
        <f t="shared" si="8"/>
        <v>-5.5000000000000009</v>
      </c>
      <c r="L22" s="23">
        <f t="shared" si="9"/>
        <v>-55.000000000000007</v>
      </c>
      <c r="M22" s="4">
        <f t="shared" si="10"/>
        <v>339</v>
      </c>
    </row>
    <row r="23" spans="1:13" x14ac:dyDescent="0.3">
      <c r="A23" s="3">
        <v>340</v>
      </c>
      <c r="B23" s="1">
        <v>-10</v>
      </c>
      <c r="C23" s="4">
        <f t="shared" si="0"/>
        <v>-4.9999999999999996E-2</v>
      </c>
      <c r="D23" s="4">
        <f t="shared" si="1"/>
        <v>-9.9999999999999992E-2</v>
      </c>
      <c r="E23" s="4">
        <f t="shared" si="2"/>
        <v>-0.19999999999999998</v>
      </c>
      <c r="F23" s="4">
        <f t="shared" si="3"/>
        <v>-0.39999999999999997</v>
      </c>
      <c r="G23" s="4">
        <f t="shared" si="4"/>
        <v>-0.49999999999999994</v>
      </c>
      <c r="H23" s="4">
        <f t="shared" si="5"/>
        <v>-0.99999999999999989</v>
      </c>
      <c r="I23" s="4">
        <f t="shared" si="6"/>
        <v>-1.9999999999999998</v>
      </c>
      <c r="J23" s="4">
        <f t="shared" si="7"/>
        <v>-3.9999999999999996</v>
      </c>
      <c r="K23" s="26">
        <f t="shared" si="8"/>
        <v>-5</v>
      </c>
      <c r="L23" s="24">
        <f t="shared" si="9"/>
        <v>-49.999999999999993</v>
      </c>
      <c r="M23" s="4">
        <f t="shared" si="10"/>
        <v>340</v>
      </c>
    </row>
    <row r="24" spans="1:13" x14ac:dyDescent="0.3">
      <c r="A24" s="1">
        <v>341</v>
      </c>
      <c r="B24" s="1">
        <v>-9</v>
      </c>
      <c r="C24" s="22">
        <f t="shared" si="0"/>
        <v>-4.4999999999999998E-2</v>
      </c>
      <c r="D24" s="22">
        <f t="shared" si="1"/>
        <v>-0.09</v>
      </c>
      <c r="E24" s="22">
        <f t="shared" si="2"/>
        <v>-0.18</v>
      </c>
      <c r="F24" s="22">
        <f t="shared" si="3"/>
        <v>-0.36</v>
      </c>
      <c r="G24" s="22">
        <f t="shared" si="4"/>
        <v>-0.44999999999999996</v>
      </c>
      <c r="H24" s="22">
        <f t="shared" si="5"/>
        <v>-0.89999999999999991</v>
      </c>
      <c r="I24" s="22">
        <f t="shared" si="6"/>
        <v>-1.7999999999999998</v>
      </c>
      <c r="J24" s="22">
        <f t="shared" si="7"/>
        <v>-3.5999999999999996</v>
      </c>
      <c r="K24" s="23">
        <f t="shared" si="8"/>
        <v>-4.5</v>
      </c>
      <c r="L24" s="23">
        <f t="shared" si="9"/>
        <v>-45</v>
      </c>
      <c r="M24" s="4">
        <f t="shared" si="10"/>
        <v>341</v>
      </c>
    </row>
    <row r="25" spans="1:13" x14ac:dyDescent="0.3">
      <c r="A25" s="1">
        <v>342</v>
      </c>
      <c r="B25" s="1">
        <v>-8</v>
      </c>
      <c r="C25" s="22">
        <f t="shared" si="0"/>
        <v>-0.04</v>
      </c>
      <c r="D25" s="22">
        <f t="shared" si="1"/>
        <v>-0.08</v>
      </c>
      <c r="E25" s="22">
        <f t="shared" si="2"/>
        <v>-0.16</v>
      </c>
      <c r="F25" s="22">
        <f t="shared" si="3"/>
        <v>-0.32</v>
      </c>
      <c r="G25" s="22">
        <f t="shared" si="4"/>
        <v>-0.4</v>
      </c>
      <c r="H25" s="22">
        <f t="shared" si="5"/>
        <v>-0.8</v>
      </c>
      <c r="I25" s="22">
        <f t="shared" si="6"/>
        <v>-1.6</v>
      </c>
      <c r="J25" s="22">
        <f t="shared" si="7"/>
        <v>-3.2</v>
      </c>
      <c r="K25" s="23">
        <f t="shared" si="8"/>
        <v>-4</v>
      </c>
      <c r="L25" s="23">
        <f t="shared" si="9"/>
        <v>-40</v>
      </c>
      <c r="M25" s="4">
        <f t="shared" si="10"/>
        <v>342</v>
      </c>
    </row>
    <row r="26" spans="1:13" x14ac:dyDescent="0.3">
      <c r="A26" s="1">
        <v>343</v>
      </c>
      <c r="B26" s="1">
        <v>-7</v>
      </c>
      <c r="C26" s="22">
        <f t="shared" si="0"/>
        <v>-3.5000000000000003E-2</v>
      </c>
      <c r="D26" s="22">
        <f t="shared" si="1"/>
        <v>-7.0000000000000007E-2</v>
      </c>
      <c r="E26" s="22">
        <f t="shared" si="2"/>
        <v>-0.14000000000000001</v>
      </c>
      <c r="F26" s="22">
        <f t="shared" si="3"/>
        <v>-0.28000000000000003</v>
      </c>
      <c r="G26" s="22">
        <f t="shared" si="4"/>
        <v>-0.35000000000000003</v>
      </c>
      <c r="H26" s="22">
        <f t="shared" si="5"/>
        <v>-0.70000000000000007</v>
      </c>
      <c r="I26" s="22">
        <f t="shared" si="6"/>
        <v>-1.4000000000000001</v>
      </c>
      <c r="J26" s="22">
        <f t="shared" si="7"/>
        <v>-2.8000000000000003</v>
      </c>
      <c r="K26" s="23">
        <f t="shared" si="8"/>
        <v>-3.5000000000000004</v>
      </c>
      <c r="L26" s="23">
        <f t="shared" si="9"/>
        <v>-35</v>
      </c>
      <c r="M26" s="4">
        <f t="shared" si="10"/>
        <v>343</v>
      </c>
    </row>
    <row r="27" spans="1:13" x14ac:dyDescent="0.3">
      <c r="A27" s="1">
        <v>344</v>
      </c>
      <c r="B27" s="1">
        <v>-6</v>
      </c>
      <c r="C27" s="22">
        <f t="shared" si="0"/>
        <v>-3.0000000000000002E-2</v>
      </c>
      <c r="D27" s="22">
        <f t="shared" si="1"/>
        <v>-6.0000000000000005E-2</v>
      </c>
      <c r="E27" s="22">
        <f t="shared" si="2"/>
        <v>-0.12000000000000001</v>
      </c>
      <c r="F27" s="22">
        <f t="shared" si="3"/>
        <v>-0.24000000000000002</v>
      </c>
      <c r="G27" s="22">
        <f t="shared" si="4"/>
        <v>-0.30000000000000004</v>
      </c>
      <c r="H27" s="22">
        <f t="shared" si="5"/>
        <v>-0.60000000000000009</v>
      </c>
      <c r="I27" s="22">
        <f t="shared" si="6"/>
        <v>-1.2000000000000002</v>
      </c>
      <c r="J27" s="22">
        <f t="shared" si="7"/>
        <v>-2.4000000000000004</v>
      </c>
      <c r="K27" s="23">
        <f t="shared" si="8"/>
        <v>-3.0000000000000004</v>
      </c>
      <c r="L27" s="23">
        <f t="shared" si="9"/>
        <v>-30.000000000000004</v>
      </c>
      <c r="M27" s="4">
        <f t="shared" si="10"/>
        <v>344</v>
      </c>
    </row>
    <row r="28" spans="1:13" x14ac:dyDescent="0.3">
      <c r="A28" s="1">
        <v>345</v>
      </c>
      <c r="B28" s="1">
        <v>-5</v>
      </c>
      <c r="C28" s="22">
        <f t="shared" si="0"/>
        <v>-2.4999999999999998E-2</v>
      </c>
      <c r="D28" s="22">
        <f t="shared" si="1"/>
        <v>-4.9999999999999996E-2</v>
      </c>
      <c r="E28" s="22">
        <f t="shared" si="2"/>
        <v>-9.9999999999999992E-2</v>
      </c>
      <c r="F28" s="22">
        <f t="shared" si="3"/>
        <v>-0.19999999999999998</v>
      </c>
      <c r="G28" s="22">
        <f t="shared" si="4"/>
        <v>-0.24999999999999997</v>
      </c>
      <c r="H28" s="22">
        <f t="shared" si="5"/>
        <v>-0.49999999999999994</v>
      </c>
      <c r="I28" s="22">
        <f t="shared" si="6"/>
        <v>-0.99999999999999989</v>
      </c>
      <c r="J28" s="22">
        <f t="shared" si="7"/>
        <v>-1.9999999999999998</v>
      </c>
      <c r="K28" s="23">
        <f t="shared" si="8"/>
        <v>-2.5</v>
      </c>
      <c r="L28" s="23">
        <f t="shared" si="9"/>
        <v>-24.999999999999996</v>
      </c>
      <c r="M28" s="4">
        <f t="shared" si="10"/>
        <v>345</v>
      </c>
    </row>
    <row r="29" spans="1:13" x14ac:dyDescent="0.3">
      <c r="A29" s="1">
        <v>346</v>
      </c>
      <c r="B29" s="1">
        <v>-4</v>
      </c>
      <c r="C29" s="22">
        <f t="shared" si="0"/>
        <v>-0.02</v>
      </c>
      <c r="D29" s="22">
        <f t="shared" si="1"/>
        <v>-0.04</v>
      </c>
      <c r="E29" s="22">
        <f t="shared" si="2"/>
        <v>-0.08</v>
      </c>
      <c r="F29" s="22">
        <f t="shared" si="3"/>
        <v>-0.16</v>
      </c>
      <c r="G29" s="22">
        <f t="shared" si="4"/>
        <v>-0.2</v>
      </c>
      <c r="H29" s="22">
        <f t="shared" si="5"/>
        <v>-0.4</v>
      </c>
      <c r="I29" s="22">
        <f t="shared" si="6"/>
        <v>-0.8</v>
      </c>
      <c r="J29" s="22">
        <f t="shared" si="7"/>
        <v>-1.6</v>
      </c>
      <c r="K29" s="23">
        <f t="shared" si="8"/>
        <v>-2</v>
      </c>
      <c r="L29" s="23">
        <f t="shared" si="9"/>
        <v>-20</v>
      </c>
      <c r="M29" s="4">
        <f t="shared" si="10"/>
        <v>346</v>
      </c>
    </row>
    <row r="30" spans="1:13" x14ac:dyDescent="0.3">
      <c r="A30" s="1">
        <v>347</v>
      </c>
      <c r="B30" s="1">
        <v>-3</v>
      </c>
      <c r="C30" s="22">
        <f t="shared" si="0"/>
        <v>-1.5000000000000001E-2</v>
      </c>
      <c r="D30" s="22">
        <f t="shared" si="1"/>
        <v>-3.0000000000000002E-2</v>
      </c>
      <c r="E30" s="22">
        <f t="shared" si="2"/>
        <v>-6.0000000000000005E-2</v>
      </c>
      <c r="F30" s="22">
        <f t="shared" si="3"/>
        <v>-0.12000000000000001</v>
      </c>
      <c r="G30" s="22">
        <f t="shared" si="4"/>
        <v>-0.15000000000000002</v>
      </c>
      <c r="H30" s="22">
        <f t="shared" si="5"/>
        <v>-0.30000000000000004</v>
      </c>
      <c r="I30" s="22">
        <f t="shared" si="6"/>
        <v>-0.60000000000000009</v>
      </c>
      <c r="J30" s="22">
        <f t="shared" si="7"/>
        <v>-1.2000000000000002</v>
      </c>
      <c r="K30" s="23">
        <f t="shared" si="8"/>
        <v>-1.5000000000000002</v>
      </c>
      <c r="L30" s="23">
        <f t="shared" si="9"/>
        <v>-15.000000000000002</v>
      </c>
      <c r="M30" s="4">
        <f t="shared" si="10"/>
        <v>347</v>
      </c>
    </row>
    <row r="31" spans="1:13" x14ac:dyDescent="0.3">
      <c r="A31" s="1">
        <v>348</v>
      </c>
      <c r="B31" s="1">
        <v>-2</v>
      </c>
      <c r="C31" s="22">
        <f t="shared" si="0"/>
        <v>-0.01</v>
      </c>
      <c r="D31" s="22">
        <f t="shared" si="1"/>
        <v>-0.02</v>
      </c>
      <c r="E31" s="22">
        <f t="shared" si="2"/>
        <v>-0.04</v>
      </c>
      <c r="F31" s="22">
        <f t="shared" si="3"/>
        <v>-0.08</v>
      </c>
      <c r="G31" s="22">
        <f t="shared" si="4"/>
        <v>-0.1</v>
      </c>
      <c r="H31" s="22">
        <f t="shared" si="5"/>
        <v>-0.2</v>
      </c>
      <c r="I31" s="22">
        <f t="shared" si="6"/>
        <v>-0.4</v>
      </c>
      <c r="J31" s="22">
        <f t="shared" si="7"/>
        <v>-0.8</v>
      </c>
      <c r="K31" s="23">
        <f t="shared" si="8"/>
        <v>-1</v>
      </c>
      <c r="L31" s="23">
        <f t="shared" si="9"/>
        <v>-10</v>
      </c>
      <c r="M31" s="4">
        <f t="shared" si="10"/>
        <v>348</v>
      </c>
    </row>
    <row r="32" spans="1:13" x14ac:dyDescent="0.3">
      <c r="A32" s="1">
        <v>349</v>
      </c>
      <c r="B32" s="1">
        <v>-1</v>
      </c>
      <c r="C32" s="22">
        <f t="shared" si="0"/>
        <v>-5.0000000000000001E-3</v>
      </c>
      <c r="D32" s="22">
        <f t="shared" si="1"/>
        <v>-0.01</v>
      </c>
      <c r="E32" s="22">
        <f t="shared" si="2"/>
        <v>-0.02</v>
      </c>
      <c r="F32" s="22">
        <f t="shared" si="3"/>
        <v>-0.04</v>
      </c>
      <c r="G32" s="22">
        <f t="shared" si="4"/>
        <v>-0.05</v>
      </c>
      <c r="H32" s="22">
        <f t="shared" si="5"/>
        <v>-0.1</v>
      </c>
      <c r="I32" s="22">
        <f t="shared" si="6"/>
        <v>-0.2</v>
      </c>
      <c r="J32" s="22">
        <f t="shared" si="7"/>
        <v>-0.4</v>
      </c>
      <c r="K32" s="23">
        <f t="shared" si="8"/>
        <v>-0.5</v>
      </c>
      <c r="L32" s="26">
        <f t="shared" si="9"/>
        <v>-5</v>
      </c>
      <c r="M32" s="4">
        <f t="shared" si="10"/>
        <v>349</v>
      </c>
    </row>
    <row r="33" spans="1:13" x14ac:dyDescent="0.3">
      <c r="A33" s="3">
        <v>350</v>
      </c>
      <c r="B33" s="3">
        <v>0</v>
      </c>
      <c r="C33" s="4">
        <f t="shared" si="0"/>
        <v>0</v>
      </c>
      <c r="D33" s="4">
        <f t="shared" si="1"/>
        <v>0</v>
      </c>
      <c r="E33" s="4">
        <f t="shared" si="2"/>
        <v>0</v>
      </c>
      <c r="F33" s="4">
        <f t="shared" si="3"/>
        <v>0</v>
      </c>
      <c r="G33" s="4">
        <f t="shared" si="4"/>
        <v>0</v>
      </c>
      <c r="H33" s="4">
        <f t="shared" si="5"/>
        <v>0</v>
      </c>
      <c r="I33" s="4">
        <f t="shared" si="6"/>
        <v>0</v>
      </c>
      <c r="J33" s="4">
        <f t="shared" si="7"/>
        <v>0</v>
      </c>
      <c r="K33" s="24">
        <f t="shared" si="8"/>
        <v>0</v>
      </c>
      <c r="L33" s="24">
        <f t="shared" si="9"/>
        <v>0</v>
      </c>
      <c r="M33" s="4">
        <f t="shared" si="10"/>
        <v>350</v>
      </c>
    </row>
    <row r="34" spans="1:13" x14ac:dyDescent="0.3">
      <c r="A34" s="1">
        <v>351</v>
      </c>
      <c r="B34" s="1">
        <v>1</v>
      </c>
      <c r="C34" s="22">
        <f t="shared" si="0"/>
        <v>5.0000000000000001E-3</v>
      </c>
      <c r="D34" s="22">
        <f t="shared" si="1"/>
        <v>0.01</v>
      </c>
      <c r="E34" s="22">
        <f t="shared" si="2"/>
        <v>0.02</v>
      </c>
      <c r="F34" s="22">
        <f t="shared" si="3"/>
        <v>0.04</v>
      </c>
      <c r="G34" s="22">
        <f t="shared" si="4"/>
        <v>0.05</v>
      </c>
      <c r="H34" s="22">
        <f t="shared" si="5"/>
        <v>0.1</v>
      </c>
      <c r="I34" s="22">
        <f t="shared" si="6"/>
        <v>0.2</v>
      </c>
      <c r="J34" s="22">
        <f t="shared" si="7"/>
        <v>0.4</v>
      </c>
      <c r="K34" s="23">
        <f t="shared" si="8"/>
        <v>0.5</v>
      </c>
      <c r="L34" s="26">
        <f t="shared" si="9"/>
        <v>5</v>
      </c>
      <c r="M34" s="4">
        <f t="shared" si="10"/>
        <v>351</v>
      </c>
    </row>
    <row r="35" spans="1:13" x14ac:dyDescent="0.3">
      <c r="A35" s="1">
        <v>352</v>
      </c>
      <c r="B35" s="3">
        <v>2</v>
      </c>
      <c r="C35" s="22">
        <f t="shared" si="0"/>
        <v>0.01</v>
      </c>
      <c r="D35" s="22">
        <f t="shared" si="1"/>
        <v>0.02</v>
      </c>
      <c r="E35" s="22">
        <f t="shared" si="2"/>
        <v>0.04</v>
      </c>
      <c r="F35" s="22">
        <f t="shared" si="3"/>
        <v>0.08</v>
      </c>
      <c r="G35" s="22">
        <f t="shared" si="4"/>
        <v>0.1</v>
      </c>
      <c r="H35" s="22">
        <f t="shared" si="5"/>
        <v>0.2</v>
      </c>
      <c r="I35" s="22">
        <f t="shared" si="6"/>
        <v>0.4</v>
      </c>
      <c r="J35" s="22">
        <f t="shared" si="7"/>
        <v>0.8</v>
      </c>
      <c r="K35" s="23">
        <f t="shared" si="8"/>
        <v>1</v>
      </c>
      <c r="L35" s="23">
        <f t="shared" si="9"/>
        <v>10</v>
      </c>
      <c r="M35" s="4">
        <f t="shared" si="10"/>
        <v>352</v>
      </c>
    </row>
    <row r="36" spans="1:13" x14ac:dyDescent="0.3">
      <c r="A36" s="1">
        <v>353</v>
      </c>
      <c r="B36" s="1">
        <v>3</v>
      </c>
      <c r="C36" s="22">
        <f t="shared" si="0"/>
        <v>1.5000000000000001E-2</v>
      </c>
      <c r="D36" s="22">
        <f t="shared" si="1"/>
        <v>3.0000000000000002E-2</v>
      </c>
      <c r="E36" s="22">
        <f t="shared" si="2"/>
        <v>6.0000000000000005E-2</v>
      </c>
      <c r="F36" s="22">
        <f t="shared" si="3"/>
        <v>0.12000000000000001</v>
      </c>
      <c r="G36" s="22">
        <f t="shared" si="4"/>
        <v>0.15000000000000002</v>
      </c>
      <c r="H36" s="22">
        <f t="shared" si="5"/>
        <v>0.30000000000000004</v>
      </c>
      <c r="I36" s="22">
        <f t="shared" si="6"/>
        <v>0.60000000000000009</v>
      </c>
      <c r="J36" s="22">
        <f t="shared" si="7"/>
        <v>1.2000000000000002</v>
      </c>
      <c r="K36" s="23">
        <f t="shared" si="8"/>
        <v>1.5000000000000002</v>
      </c>
      <c r="L36" s="23">
        <f t="shared" si="9"/>
        <v>15.000000000000002</v>
      </c>
      <c r="M36" s="4">
        <f t="shared" si="10"/>
        <v>353</v>
      </c>
    </row>
    <row r="37" spans="1:13" x14ac:dyDescent="0.3">
      <c r="A37" s="1">
        <v>354</v>
      </c>
      <c r="B37" s="3">
        <v>4</v>
      </c>
      <c r="C37" s="22">
        <f t="shared" si="0"/>
        <v>0.02</v>
      </c>
      <c r="D37" s="22">
        <f t="shared" si="1"/>
        <v>0.04</v>
      </c>
      <c r="E37" s="22">
        <f t="shared" si="2"/>
        <v>0.08</v>
      </c>
      <c r="F37" s="22">
        <f t="shared" si="3"/>
        <v>0.16</v>
      </c>
      <c r="G37" s="22">
        <f t="shared" si="4"/>
        <v>0.2</v>
      </c>
      <c r="H37" s="22">
        <f t="shared" si="5"/>
        <v>0.4</v>
      </c>
      <c r="I37" s="22">
        <f t="shared" si="6"/>
        <v>0.8</v>
      </c>
      <c r="J37" s="22">
        <f t="shared" si="7"/>
        <v>1.6</v>
      </c>
      <c r="K37" s="23">
        <f t="shared" si="8"/>
        <v>2</v>
      </c>
      <c r="L37" s="23">
        <f t="shared" si="9"/>
        <v>20</v>
      </c>
      <c r="M37" s="4">
        <f t="shared" si="10"/>
        <v>354</v>
      </c>
    </row>
    <row r="38" spans="1:13" x14ac:dyDescent="0.3">
      <c r="A38" s="1">
        <v>355</v>
      </c>
      <c r="B38" s="1">
        <v>5</v>
      </c>
      <c r="C38" s="22">
        <f t="shared" si="0"/>
        <v>2.4999999999999998E-2</v>
      </c>
      <c r="D38" s="22">
        <f t="shared" si="1"/>
        <v>4.9999999999999996E-2</v>
      </c>
      <c r="E38" s="22">
        <f t="shared" si="2"/>
        <v>9.9999999999999992E-2</v>
      </c>
      <c r="F38" s="22">
        <f t="shared" si="3"/>
        <v>0.19999999999999998</v>
      </c>
      <c r="G38" s="22">
        <f t="shared" si="4"/>
        <v>0.24999999999999997</v>
      </c>
      <c r="H38" s="22">
        <f t="shared" si="5"/>
        <v>0.49999999999999994</v>
      </c>
      <c r="I38" s="22">
        <f t="shared" si="6"/>
        <v>0.99999999999999989</v>
      </c>
      <c r="J38" s="22">
        <f t="shared" si="7"/>
        <v>1.9999999999999998</v>
      </c>
      <c r="K38" s="23">
        <f t="shared" si="8"/>
        <v>2.5</v>
      </c>
      <c r="L38" s="23">
        <f t="shared" si="9"/>
        <v>24.999999999999996</v>
      </c>
      <c r="M38" s="4">
        <f t="shared" si="10"/>
        <v>355</v>
      </c>
    </row>
    <row r="39" spans="1:13" x14ac:dyDescent="0.3">
      <c r="A39" s="1">
        <v>356</v>
      </c>
      <c r="B39" s="3">
        <v>6</v>
      </c>
      <c r="C39" s="22">
        <f t="shared" si="0"/>
        <v>3.0000000000000002E-2</v>
      </c>
      <c r="D39" s="22">
        <f t="shared" si="1"/>
        <v>6.0000000000000005E-2</v>
      </c>
      <c r="E39" s="22">
        <f t="shared" si="2"/>
        <v>0.12000000000000001</v>
      </c>
      <c r="F39" s="22">
        <f t="shared" si="3"/>
        <v>0.24000000000000002</v>
      </c>
      <c r="G39" s="22">
        <f t="shared" si="4"/>
        <v>0.30000000000000004</v>
      </c>
      <c r="H39" s="22">
        <f t="shared" si="5"/>
        <v>0.60000000000000009</v>
      </c>
      <c r="I39" s="22">
        <f t="shared" si="6"/>
        <v>1.2000000000000002</v>
      </c>
      <c r="J39" s="22">
        <f t="shared" si="7"/>
        <v>2.4000000000000004</v>
      </c>
      <c r="K39" s="23">
        <f t="shared" si="8"/>
        <v>3.0000000000000004</v>
      </c>
      <c r="L39" s="23">
        <f t="shared" si="9"/>
        <v>30.000000000000004</v>
      </c>
      <c r="M39" s="4">
        <f t="shared" si="10"/>
        <v>356</v>
      </c>
    </row>
    <row r="40" spans="1:13" x14ac:dyDescent="0.3">
      <c r="A40" s="1">
        <v>357</v>
      </c>
      <c r="B40" s="1">
        <v>7</v>
      </c>
      <c r="C40" s="22">
        <f t="shared" si="0"/>
        <v>3.5000000000000003E-2</v>
      </c>
      <c r="D40" s="22">
        <f t="shared" si="1"/>
        <v>7.0000000000000007E-2</v>
      </c>
      <c r="E40" s="22">
        <f t="shared" si="2"/>
        <v>0.14000000000000001</v>
      </c>
      <c r="F40" s="22">
        <f t="shared" si="3"/>
        <v>0.28000000000000003</v>
      </c>
      <c r="G40" s="22">
        <f t="shared" si="4"/>
        <v>0.35000000000000003</v>
      </c>
      <c r="H40" s="22">
        <f t="shared" si="5"/>
        <v>0.70000000000000007</v>
      </c>
      <c r="I40" s="22">
        <f t="shared" si="6"/>
        <v>1.4000000000000001</v>
      </c>
      <c r="J40" s="22">
        <f t="shared" si="7"/>
        <v>2.8000000000000003</v>
      </c>
      <c r="K40" s="23">
        <f t="shared" si="8"/>
        <v>3.5000000000000004</v>
      </c>
      <c r="L40" s="23">
        <f t="shared" si="9"/>
        <v>35</v>
      </c>
      <c r="M40" s="4">
        <f t="shared" si="10"/>
        <v>357</v>
      </c>
    </row>
    <row r="41" spans="1:13" x14ac:dyDescent="0.3">
      <c r="A41" s="1">
        <v>358</v>
      </c>
      <c r="B41" s="3">
        <v>8</v>
      </c>
      <c r="C41" s="22">
        <f t="shared" si="0"/>
        <v>0.04</v>
      </c>
      <c r="D41" s="22">
        <f t="shared" si="1"/>
        <v>0.08</v>
      </c>
      <c r="E41" s="22">
        <f t="shared" si="2"/>
        <v>0.16</v>
      </c>
      <c r="F41" s="22">
        <f t="shared" si="3"/>
        <v>0.32</v>
      </c>
      <c r="G41" s="22">
        <f t="shared" si="4"/>
        <v>0.4</v>
      </c>
      <c r="H41" s="22">
        <f t="shared" si="5"/>
        <v>0.8</v>
      </c>
      <c r="I41" s="22">
        <f t="shared" si="6"/>
        <v>1.6</v>
      </c>
      <c r="J41" s="22">
        <f t="shared" si="7"/>
        <v>3.2</v>
      </c>
      <c r="K41" s="23">
        <f t="shared" si="8"/>
        <v>4</v>
      </c>
      <c r="L41" s="23">
        <f t="shared" si="9"/>
        <v>40</v>
      </c>
      <c r="M41" s="4">
        <f t="shared" si="10"/>
        <v>358</v>
      </c>
    </row>
    <row r="42" spans="1:13" x14ac:dyDescent="0.3">
      <c r="A42" s="1">
        <v>359</v>
      </c>
      <c r="B42" s="1">
        <v>9</v>
      </c>
      <c r="C42" s="22">
        <f t="shared" si="0"/>
        <v>4.4999999999999998E-2</v>
      </c>
      <c r="D42" s="22">
        <f t="shared" si="1"/>
        <v>0.09</v>
      </c>
      <c r="E42" s="22">
        <f t="shared" si="2"/>
        <v>0.18</v>
      </c>
      <c r="F42" s="22">
        <f t="shared" si="3"/>
        <v>0.36</v>
      </c>
      <c r="G42" s="22">
        <f t="shared" si="4"/>
        <v>0.44999999999999996</v>
      </c>
      <c r="H42" s="22">
        <f t="shared" si="5"/>
        <v>0.89999999999999991</v>
      </c>
      <c r="I42" s="22">
        <f t="shared" si="6"/>
        <v>1.7999999999999998</v>
      </c>
      <c r="J42" s="22">
        <f t="shared" si="7"/>
        <v>3.5999999999999996</v>
      </c>
      <c r="K42" s="23">
        <f t="shared" si="8"/>
        <v>4.5</v>
      </c>
      <c r="L42" s="23">
        <f t="shared" si="9"/>
        <v>45</v>
      </c>
      <c r="M42" s="4">
        <f t="shared" si="10"/>
        <v>359</v>
      </c>
    </row>
    <row r="43" spans="1:13" x14ac:dyDescent="0.3">
      <c r="A43" s="3">
        <v>360</v>
      </c>
      <c r="B43" s="3">
        <v>10</v>
      </c>
      <c r="C43" s="4">
        <f t="shared" si="0"/>
        <v>4.9999999999999996E-2</v>
      </c>
      <c r="D43" s="4">
        <f t="shared" si="1"/>
        <v>9.9999999999999992E-2</v>
      </c>
      <c r="E43" s="4">
        <f t="shared" si="2"/>
        <v>0.19999999999999998</v>
      </c>
      <c r="F43" s="4">
        <f t="shared" si="3"/>
        <v>0.39999999999999997</v>
      </c>
      <c r="G43" s="4">
        <f t="shared" si="4"/>
        <v>0.49999999999999994</v>
      </c>
      <c r="H43" s="4">
        <f t="shared" si="5"/>
        <v>0.99999999999999989</v>
      </c>
      <c r="I43" s="4">
        <f t="shared" si="6"/>
        <v>1.9999999999999998</v>
      </c>
      <c r="J43" s="4">
        <f t="shared" si="7"/>
        <v>3.9999999999999996</v>
      </c>
      <c r="K43" s="26">
        <f t="shared" si="8"/>
        <v>5</v>
      </c>
      <c r="L43" s="24">
        <f t="shared" si="9"/>
        <v>49.999999999999993</v>
      </c>
      <c r="M43" s="4">
        <f t="shared" si="10"/>
        <v>360</v>
      </c>
    </row>
    <row r="44" spans="1:13" x14ac:dyDescent="0.3">
      <c r="A44" s="1">
        <v>361</v>
      </c>
      <c r="B44" s="1">
        <v>11</v>
      </c>
      <c r="C44" s="22">
        <f t="shared" si="0"/>
        <v>5.5000000000000007E-2</v>
      </c>
      <c r="D44" s="22">
        <f t="shared" si="1"/>
        <v>0.11000000000000001</v>
      </c>
      <c r="E44" s="22">
        <f t="shared" si="2"/>
        <v>0.22000000000000003</v>
      </c>
      <c r="F44" s="22">
        <f t="shared" si="3"/>
        <v>0.44000000000000006</v>
      </c>
      <c r="G44" s="22">
        <f t="shared" si="4"/>
        <v>0.55000000000000004</v>
      </c>
      <c r="H44" s="22">
        <f t="shared" si="5"/>
        <v>1.1000000000000001</v>
      </c>
      <c r="I44" s="22">
        <f t="shared" si="6"/>
        <v>2.2000000000000002</v>
      </c>
      <c r="J44" s="22">
        <f t="shared" si="7"/>
        <v>4.4000000000000004</v>
      </c>
      <c r="K44" s="23">
        <f t="shared" si="8"/>
        <v>5.5000000000000009</v>
      </c>
      <c r="L44" s="23">
        <f t="shared" si="9"/>
        <v>55.000000000000007</v>
      </c>
      <c r="M44" s="4">
        <f t="shared" si="10"/>
        <v>361</v>
      </c>
    </row>
    <row r="45" spans="1:13" x14ac:dyDescent="0.3">
      <c r="A45" s="1">
        <v>362</v>
      </c>
      <c r="B45" s="3">
        <v>12</v>
      </c>
      <c r="C45" s="22">
        <f t="shared" si="0"/>
        <v>6.0000000000000005E-2</v>
      </c>
      <c r="D45" s="22">
        <f t="shared" si="1"/>
        <v>0.12000000000000001</v>
      </c>
      <c r="E45" s="22">
        <f t="shared" si="2"/>
        <v>0.24000000000000002</v>
      </c>
      <c r="F45" s="22">
        <f t="shared" si="3"/>
        <v>0.48000000000000004</v>
      </c>
      <c r="G45" s="22">
        <f t="shared" si="4"/>
        <v>0.60000000000000009</v>
      </c>
      <c r="H45" s="22">
        <f t="shared" si="5"/>
        <v>1.2000000000000002</v>
      </c>
      <c r="I45" s="22">
        <f t="shared" si="6"/>
        <v>2.4000000000000004</v>
      </c>
      <c r="J45" s="22">
        <f t="shared" si="7"/>
        <v>4.8000000000000007</v>
      </c>
      <c r="K45" s="23">
        <f t="shared" si="8"/>
        <v>6.0000000000000009</v>
      </c>
      <c r="L45" s="23">
        <f t="shared" si="9"/>
        <v>60.000000000000007</v>
      </c>
      <c r="M45" s="4">
        <f t="shared" si="10"/>
        <v>362</v>
      </c>
    </row>
    <row r="46" spans="1:13" x14ac:dyDescent="0.3">
      <c r="A46" s="1">
        <v>363</v>
      </c>
      <c r="B46" s="1">
        <v>13</v>
      </c>
      <c r="C46" s="22">
        <f t="shared" si="0"/>
        <v>6.5000000000000002E-2</v>
      </c>
      <c r="D46" s="22">
        <f t="shared" si="1"/>
        <v>0.13</v>
      </c>
      <c r="E46" s="22">
        <f t="shared" si="2"/>
        <v>0.26</v>
      </c>
      <c r="F46" s="22">
        <f t="shared" si="3"/>
        <v>0.52</v>
      </c>
      <c r="G46" s="22">
        <f t="shared" si="4"/>
        <v>0.65</v>
      </c>
      <c r="H46" s="22">
        <f t="shared" si="5"/>
        <v>1.3</v>
      </c>
      <c r="I46" s="22">
        <f t="shared" si="6"/>
        <v>2.6</v>
      </c>
      <c r="J46" s="25">
        <f t="shared" si="7"/>
        <v>5.2</v>
      </c>
      <c r="K46" s="23">
        <f t="shared" si="8"/>
        <v>6.5</v>
      </c>
      <c r="L46" s="23">
        <f t="shared" si="9"/>
        <v>65</v>
      </c>
      <c r="M46" s="4">
        <f t="shared" si="10"/>
        <v>363</v>
      </c>
    </row>
    <row r="47" spans="1:13" x14ac:dyDescent="0.3">
      <c r="A47" s="1">
        <v>364</v>
      </c>
      <c r="B47" s="3">
        <v>14</v>
      </c>
      <c r="C47" s="22">
        <f t="shared" si="0"/>
        <v>7.0000000000000007E-2</v>
      </c>
      <c r="D47" s="22">
        <f t="shared" si="1"/>
        <v>0.14000000000000001</v>
      </c>
      <c r="E47" s="22">
        <f t="shared" si="2"/>
        <v>0.28000000000000003</v>
      </c>
      <c r="F47" s="22">
        <f t="shared" si="3"/>
        <v>0.56000000000000005</v>
      </c>
      <c r="G47" s="22">
        <f t="shared" si="4"/>
        <v>0.70000000000000007</v>
      </c>
      <c r="H47" s="22">
        <f t="shared" si="5"/>
        <v>1.4000000000000001</v>
      </c>
      <c r="I47" s="22">
        <f t="shared" si="6"/>
        <v>2.8000000000000003</v>
      </c>
      <c r="J47" s="22">
        <f t="shared" si="7"/>
        <v>5.6000000000000005</v>
      </c>
      <c r="K47" s="23">
        <f t="shared" si="8"/>
        <v>7.0000000000000009</v>
      </c>
      <c r="L47" s="23">
        <f t="shared" si="9"/>
        <v>70</v>
      </c>
      <c r="M47" s="4">
        <f t="shared" si="10"/>
        <v>364</v>
      </c>
    </row>
    <row r="48" spans="1:13" x14ac:dyDescent="0.3">
      <c r="A48" s="1">
        <v>365</v>
      </c>
      <c r="B48" s="1">
        <v>15</v>
      </c>
      <c r="C48" s="22">
        <f t="shared" si="0"/>
        <v>7.4999999999999997E-2</v>
      </c>
      <c r="D48" s="22">
        <f t="shared" si="1"/>
        <v>0.15</v>
      </c>
      <c r="E48" s="22">
        <f t="shared" si="2"/>
        <v>0.3</v>
      </c>
      <c r="F48" s="22">
        <f t="shared" si="3"/>
        <v>0.6</v>
      </c>
      <c r="G48" s="22">
        <f t="shared" si="4"/>
        <v>0.75</v>
      </c>
      <c r="H48" s="22">
        <f t="shared" si="5"/>
        <v>1.5</v>
      </c>
      <c r="I48" s="22">
        <f t="shared" si="6"/>
        <v>3</v>
      </c>
      <c r="J48" s="22">
        <f t="shared" si="7"/>
        <v>6</v>
      </c>
      <c r="K48" s="23">
        <f t="shared" si="8"/>
        <v>7.5</v>
      </c>
      <c r="L48" s="23">
        <f t="shared" si="9"/>
        <v>75</v>
      </c>
      <c r="M48" s="4">
        <f t="shared" si="10"/>
        <v>365</v>
      </c>
    </row>
    <row r="49" spans="1:13" x14ac:dyDescent="0.3">
      <c r="A49" s="1">
        <v>366</v>
      </c>
      <c r="B49" s="3">
        <v>16</v>
      </c>
      <c r="C49" s="22">
        <f t="shared" si="0"/>
        <v>0.08</v>
      </c>
      <c r="D49" s="22">
        <f t="shared" si="1"/>
        <v>0.16</v>
      </c>
      <c r="E49" s="22">
        <f t="shared" si="2"/>
        <v>0.32</v>
      </c>
      <c r="F49" s="22">
        <f t="shared" si="3"/>
        <v>0.64</v>
      </c>
      <c r="G49" s="22">
        <f t="shared" si="4"/>
        <v>0.8</v>
      </c>
      <c r="H49" s="22">
        <f t="shared" si="5"/>
        <v>1.6</v>
      </c>
      <c r="I49" s="22">
        <f t="shared" si="6"/>
        <v>3.2</v>
      </c>
      <c r="J49" s="22">
        <f t="shared" si="7"/>
        <v>6.4</v>
      </c>
      <c r="K49" s="23">
        <f t="shared" si="8"/>
        <v>8</v>
      </c>
      <c r="L49" s="23">
        <f t="shared" si="9"/>
        <v>80</v>
      </c>
      <c r="M49" s="4">
        <f t="shared" si="10"/>
        <v>366</v>
      </c>
    </row>
    <row r="50" spans="1:13" x14ac:dyDescent="0.3">
      <c r="A50" s="1">
        <v>367</v>
      </c>
      <c r="B50" s="1">
        <v>17</v>
      </c>
      <c r="C50" s="22">
        <f t="shared" si="0"/>
        <v>8.4999999999999992E-2</v>
      </c>
      <c r="D50" s="22">
        <f t="shared" si="1"/>
        <v>0.16999999999999998</v>
      </c>
      <c r="E50" s="22">
        <f t="shared" si="2"/>
        <v>0.33999999999999997</v>
      </c>
      <c r="F50" s="22">
        <f t="shared" si="3"/>
        <v>0.67999999999999994</v>
      </c>
      <c r="G50" s="22">
        <f t="shared" si="4"/>
        <v>0.84999999999999987</v>
      </c>
      <c r="H50" s="22">
        <f t="shared" si="5"/>
        <v>1.6999999999999997</v>
      </c>
      <c r="I50" s="22">
        <f t="shared" si="6"/>
        <v>3.3999999999999995</v>
      </c>
      <c r="J50" s="22">
        <f t="shared" si="7"/>
        <v>6.7999999999999989</v>
      </c>
      <c r="K50" s="23">
        <f t="shared" si="8"/>
        <v>8.5</v>
      </c>
      <c r="L50" s="23">
        <f t="shared" si="9"/>
        <v>84.999999999999986</v>
      </c>
      <c r="M50" s="4">
        <f t="shared" si="10"/>
        <v>367</v>
      </c>
    </row>
    <row r="51" spans="1:13" x14ac:dyDescent="0.3">
      <c r="A51" s="1">
        <v>368</v>
      </c>
      <c r="B51" s="3">
        <v>18</v>
      </c>
      <c r="C51" s="22">
        <f t="shared" si="0"/>
        <v>0.09</v>
      </c>
      <c r="D51" s="22">
        <f t="shared" si="1"/>
        <v>0.18</v>
      </c>
      <c r="E51" s="22">
        <f t="shared" si="2"/>
        <v>0.36</v>
      </c>
      <c r="F51" s="22">
        <f t="shared" si="3"/>
        <v>0.72</v>
      </c>
      <c r="G51" s="22">
        <f t="shared" si="4"/>
        <v>0.89999999999999991</v>
      </c>
      <c r="H51" s="22">
        <f t="shared" si="5"/>
        <v>1.7999999999999998</v>
      </c>
      <c r="I51" s="22">
        <f t="shared" si="6"/>
        <v>3.5999999999999996</v>
      </c>
      <c r="J51" s="22">
        <f t="shared" si="7"/>
        <v>7.1999999999999993</v>
      </c>
      <c r="K51" s="23">
        <f t="shared" si="8"/>
        <v>9</v>
      </c>
      <c r="L51" s="23">
        <f t="shared" si="9"/>
        <v>90</v>
      </c>
      <c r="M51" s="4">
        <f t="shared" si="10"/>
        <v>368</v>
      </c>
    </row>
    <row r="52" spans="1:13" x14ac:dyDescent="0.3">
      <c r="A52" s="1">
        <v>369</v>
      </c>
      <c r="B52" s="1">
        <v>19</v>
      </c>
      <c r="C52" s="22">
        <f t="shared" si="0"/>
        <v>9.5000000000000001E-2</v>
      </c>
      <c r="D52" s="22">
        <f t="shared" si="1"/>
        <v>0.19</v>
      </c>
      <c r="E52" s="22">
        <f t="shared" si="2"/>
        <v>0.38</v>
      </c>
      <c r="F52" s="22">
        <f t="shared" si="3"/>
        <v>0.76</v>
      </c>
      <c r="G52" s="22">
        <f t="shared" si="4"/>
        <v>0.95</v>
      </c>
      <c r="H52" s="22">
        <f t="shared" si="5"/>
        <v>1.9</v>
      </c>
      <c r="I52" s="22">
        <f t="shared" si="6"/>
        <v>3.8</v>
      </c>
      <c r="J52" s="22">
        <f t="shared" si="7"/>
        <v>7.6</v>
      </c>
      <c r="K52" s="23">
        <f t="shared" si="8"/>
        <v>9.5</v>
      </c>
      <c r="L52" s="23">
        <f t="shared" si="9"/>
        <v>95</v>
      </c>
      <c r="M52" s="4">
        <f t="shared" si="10"/>
        <v>369</v>
      </c>
    </row>
    <row r="53" spans="1:13" x14ac:dyDescent="0.3">
      <c r="A53" s="3">
        <v>370</v>
      </c>
      <c r="B53" s="3">
        <v>20</v>
      </c>
      <c r="C53" s="4">
        <f t="shared" si="0"/>
        <v>9.9999999999999992E-2</v>
      </c>
      <c r="D53" s="4">
        <f t="shared" si="1"/>
        <v>0.19999999999999998</v>
      </c>
      <c r="E53" s="4">
        <f t="shared" si="2"/>
        <v>0.39999999999999997</v>
      </c>
      <c r="F53" s="4">
        <f t="shared" si="3"/>
        <v>0.79999999999999993</v>
      </c>
      <c r="G53" s="4">
        <f t="shared" si="4"/>
        <v>0.99999999999999989</v>
      </c>
      <c r="H53" s="4">
        <f t="shared" si="5"/>
        <v>1.9999999999999998</v>
      </c>
      <c r="I53" s="4">
        <f t="shared" si="6"/>
        <v>3.9999999999999996</v>
      </c>
      <c r="J53" s="4">
        <f t="shared" si="7"/>
        <v>7.9999999999999991</v>
      </c>
      <c r="K53" s="24">
        <f t="shared" si="8"/>
        <v>10</v>
      </c>
      <c r="L53" s="24">
        <f t="shared" si="9"/>
        <v>99.999999999999986</v>
      </c>
      <c r="M53" s="4">
        <f t="shared" si="10"/>
        <v>370</v>
      </c>
    </row>
    <row r="54" spans="1:13" x14ac:dyDescent="0.3">
      <c r="A54" s="1">
        <v>371</v>
      </c>
      <c r="B54" s="1">
        <v>21</v>
      </c>
      <c r="C54" s="22">
        <f t="shared" si="0"/>
        <v>0.105</v>
      </c>
      <c r="D54" s="22">
        <f t="shared" si="1"/>
        <v>0.21</v>
      </c>
      <c r="E54" s="22">
        <f t="shared" si="2"/>
        <v>0.42</v>
      </c>
      <c r="F54" s="22">
        <f t="shared" si="3"/>
        <v>0.84</v>
      </c>
      <c r="G54" s="22">
        <f t="shared" si="4"/>
        <v>1.05</v>
      </c>
      <c r="H54" s="22">
        <f t="shared" si="5"/>
        <v>2.1</v>
      </c>
      <c r="I54" s="22">
        <f t="shared" si="6"/>
        <v>4.2</v>
      </c>
      <c r="J54" s="22">
        <f t="shared" si="7"/>
        <v>8.4</v>
      </c>
      <c r="K54" s="23">
        <f t="shared" si="8"/>
        <v>10.5</v>
      </c>
      <c r="L54" s="23">
        <f t="shared" si="9"/>
        <v>105</v>
      </c>
      <c r="M54" s="4">
        <f t="shared" si="10"/>
        <v>371</v>
      </c>
    </row>
    <row r="55" spans="1:13" x14ac:dyDescent="0.3">
      <c r="A55" s="1">
        <v>372</v>
      </c>
      <c r="B55" s="3">
        <v>22</v>
      </c>
      <c r="C55" s="22">
        <f t="shared" si="0"/>
        <v>0.11000000000000001</v>
      </c>
      <c r="D55" s="22">
        <f t="shared" si="1"/>
        <v>0.22000000000000003</v>
      </c>
      <c r="E55" s="22">
        <f t="shared" si="2"/>
        <v>0.44000000000000006</v>
      </c>
      <c r="F55" s="22">
        <f t="shared" si="3"/>
        <v>0.88000000000000012</v>
      </c>
      <c r="G55" s="22">
        <f t="shared" si="4"/>
        <v>1.1000000000000001</v>
      </c>
      <c r="H55" s="22">
        <f t="shared" si="5"/>
        <v>2.2000000000000002</v>
      </c>
      <c r="I55" s="22">
        <f t="shared" si="6"/>
        <v>4.4000000000000004</v>
      </c>
      <c r="J55" s="22">
        <f t="shared" si="7"/>
        <v>8.8000000000000007</v>
      </c>
      <c r="K55" s="23">
        <f t="shared" si="8"/>
        <v>11.000000000000002</v>
      </c>
      <c r="L55" s="23">
        <f t="shared" si="9"/>
        <v>110.00000000000001</v>
      </c>
      <c r="M55" s="4">
        <f t="shared" si="10"/>
        <v>372</v>
      </c>
    </row>
    <row r="56" spans="1:13" x14ac:dyDescent="0.3">
      <c r="A56" s="1">
        <v>373</v>
      </c>
      <c r="B56" s="1">
        <v>23</v>
      </c>
      <c r="C56" s="22">
        <f t="shared" si="0"/>
        <v>0.11499999999999999</v>
      </c>
      <c r="D56" s="22">
        <f t="shared" si="1"/>
        <v>0.22999999999999998</v>
      </c>
      <c r="E56" s="22">
        <f t="shared" si="2"/>
        <v>0.45999999999999996</v>
      </c>
      <c r="F56" s="22">
        <f t="shared" si="3"/>
        <v>0.91999999999999993</v>
      </c>
      <c r="G56" s="22">
        <f t="shared" si="4"/>
        <v>1.1499999999999999</v>
      </c>
      <c r="H56" s="22">
        <f t="shared" si="5"/>
        <v>2.2999999999999998</v>
      </c>
      <c r="I56" s="22">
        <f t="shared" si="6"/>
        <v>4.5999999999999996</v>
      </c>
      <c r="J56" s="22">
        <f t="shared" si="7"/>
        <v>9.1999999999999993</v>
      </c>
      <c r="K56" s="23">
        <f t="shared" si="8"/>
        <v>11.5</v>
      </c>
      <c r="L56" s="23">
        <f t="shared" si="9"/>
        <v>114.99999999999999</v>
      </c>
      <c r="M56" s="4">
        <f t="shared" si="10"/>
        <v>373</v>
      </c>
    </row>
    <row r="57" spans="1:13" x14ac:dyDescent="0.3">
      <c r="A57" s="1">
        <v>374</v>
      </c>
      <c r="B57" s="3">
        <v>24</v>
      </c>
      <c r="C57" s="22">
        <f t="shared" si="0"/>
        <v>0.12000000000000001</v>
      </c>
      <c r="D57" s="22">
        <f t="shared" si="1"/>
        <v>0.24000000000000002</v>
      </c>
      <c r="E57" s="22">
        <f t="shared" si="2"/>
        <v>0.48000000000000004</v>
      </c>
      <c r="F57" s="22">
        <f t="shared" si="3"/>
        <v>0.96000000000000008</v>
      </c>
      <c r="G57" s="22">
        <f t="shared" si="4"/>
        <v>1.2000000000000002</v>
      </c>
      <c r="H57" s="22">
        <f t="shared" si="5"/>
        <v>2.4000000000000004</v>
      </c>
      <c r="I57" s="22">
        <f t="shared" si="6"/>
        <v>4.8000000000000007</v>
      </c>
      <c r="J57" s="22">
        <f t="shared" si="7"/>
        <v>9.6000000000000014</v>
      </c>
      <c r="K57" s="23">
        <f t="shared" si="8"/>
        <v>12.000000000000002</v>
      </c>
      <c r="L57" s="23">
        <f t="shared" si="9"/>
        <v>120.00000000000001</v>
      </c>
      <c r="M57" s="4">
        <f t="shared" si="10"/>
        <v>374</v>
      </c>
    </row>
    <row r="58" spans="1:13" x14ac:dyDescent="0.3">
      <c r="A58" s="1">
        <v>375</v>
      </c>
      <c r="B58" s="1">
        <v>25</v>
      </c>
      <c r="C58" s="22">
        <f t="shared" si="0"/>
        <v>0.125</v>
      </c>
      <c r="D58" s="22">
        <f t="shared" si="1"/>
        <v>0.25</v>
      </c>
      <c r="E58" s="22">
        <f t="shared" si="2"/>
        <v>0.5</v>
      </c>
      <c r="F58" s="22">
        <f t="shared" si="3"/>
        <v>1</v>
      </c>
      <c r="G58" s="22">
        <f t="shared" si="4"/>
        <v>1.25</v>
      </c>
      <c r="H58" s="22">
        <f t="shared" si="5"/>
        <v>2.5</v>
      </c>
      <c r="I58" s="25">
        <f t="shared" si="6"/>
        <v>5</v>
      </c>
      <c r="J58" s="22">
        <f t="shared" si="7"/>
        <v>10</v>
      </c>
      <c r="K58" s="23">
        <f t="shared" si="8"/>
        <v>12.5</v>
      </c>
      <c r="L58" s="23">
        <f t="shared" si="9"/>
        <v>125</v>
      </c>
      <c r="M58" s="4">
        <f t="shared" si="10"/>
        <v>375</v>
      </c>
    </row>
    <row r="59" spans="1:13" x14ac:dyDescent="0.3">
      <c r="A59" s="1">
        <v>376</v>
      </c>
      <c r="B59" s="3">
        <v>26</v>
      </c>
      <c r="C59" s="22">
        <f t="shared" si="0"/>
        <v>0.13</v>
      </c>
      <c r="D59" s="22">
        <f t="shared" si="1"/>
        <v>0.26</v>
      </c>
      <c r="E59" s="22">
        <f t="shared" si="2"/>
        <v>0.52</v>
      </c>
      <c r="F59" s="22">
        <f t="shared" si="3"/>
        <v>1.04</v>
      </c>
      <c r="G59" s="22">
        <f t="shared" si="4"/>
        <v>1.3</v>
      </c>
      <c r="H59" s="22">
        <f t="shared" si="5"/>
        <v>2.6</v>
      </c>
      <c r="I59" s="22">
        <f t="shared" si="6"/>
        <v>5.2</v>
      </c>
      <c r="J59" s="22">
        <f t="shared" si="7"/>
        <v>10.4</v>
      </c>
      <c r="K59" s="23">
        <f t="shared" si="8"/>
        <v>13</v>
      </c>
      <c r="L59" s="23">
        <f t="shared" si="9"/>
        <v>130</v>
      </c>
      <c r="M59" s="4">
        <f t="shared" si="10"/>
        <v>376</v>
      </c>
    </row>
    <row r="60" spans="1:13" x14ac:dyDescent="0.3">
      <c r="A60" s="1">
        <v>377</v>
      </c>
      <c r="B60" s="1">
        <v>27</v>
      </c>
      <c r="C60" s="22">
        <f t="shared" si="0"/>
        <v>0.13499999999999998</v>
      </c>
      <c r="D60" s="22">
        <f t="shared" si="1"/>
        <v>0.26999999999999996</v>
      </c>
      <c r="E60" s="22">
        <f t="shared" si="2"/>
        <v>0.53999999999999992</v>
      </c>
      <c r="F60" s="22">
        <f t="shared" si="3"/>
        <v>1.0799999999999998</v>
      </c>
      <c r="G60" s="22">
        <f t="shared" si="4"/>
        <v>1.3499999999999999</v>
      </c>
      <c r="H60" s="22">
        <f t="shared" si="5"/>
        <v>2.6999999999999997</v>
      </c>
      <c r="I60" s="22">
        <f t="shared" si="6"/>
        <v>5.3999999999999995</v>
      </c>
      <c r="J60" s="22">
        <f t="shared" si="7"/>
        <v>10.799999999999999</v>
      </c>
      <c r="K60" s="23">
        <f t="shared" si="8"/>
        <v>13.499999999999998</v>
      </c>
      <c r="L60" s="23">
        <f t="shared" si="9"/>
        <v>134.99999999999997</v>
      </c>
      <c r="M60" s="4">
        <f t="shared" si="10"/>
        <v>377</v>
      </c>
    </row>
    <row r="61" spans="1:13" x14ac:dyDescent="0.3">
      <c r="A61" s="1">
        <v>378</v>
      </c>
      <c r="B61" s="3">
        <v>28</v>
      </c>
      <c r="C61" s="22">
        <f t="shared" si="0"/>
        <v>0.14000000000000001</v>
      </c>
      <c r="D61" s="22">
        <f t="shared" si="1"/>
        <v>0.28000000000000003</v>
      </c>
      <c r="E61" s="22">
        <f t="shared" si="2"/>
        <v>0.56000000000000005</v>
      </c>
      <c r="F61" s="22">
        <f t="shared" si="3"/>
        <v>1.1200000000000001</v>
      </c>
      <c r="G61" s="22">
        <f t="shared" si="4"/>
        <v>1.4000000000000001</v>
      </c>
      <c r="H61" s="22">
        <f t="shared" si="5"/>
        <v>2.8000000000000003</v>
      </c>
      <c r="I61" s="22">
        <f t="shared" si="6"/>
        <v>5.6000000000000005</v>
      </c>
      <c r="J61" s="22">
        <f t="shared" si="7"/>
        <v>11.200000000000001</v>
      </c>
      <c r="K61" s="23">
        <f t="shared" si="8"/>
        <v>14.000000000000002</v>
      </c>
      <c r="L61" s="23">
        <f t="shared" si="9"/>
        <v>140</v>
      </c>
      <c r="M61" s="4">
        <f t="shared" si="10"/>
        <v>378</v>
      </c>
    </row>
    <row r="62" spans="1:13" x14ac:dyDescent="0.3">
      <c r="A62" s="1">
        <v>379</v>
      </c>
      <c r="B62" s="1">
        <v>29</v>
      </c>
      <c r="C62" s="22">
        <f t="shared" si="0"/>
        <v>0.14499999999999999</v>
      </c>
      <c r="D62" s="22">
        <f t="shared" si="1"/>
        <v>0.28999999999999998</v>
      </c>
      <c r="E62" s="22">
        <f t="shared" si="2"/>
        <v>0.57999999999999996</v>
      </c>
      <c r="F62" s="22">
        <f t="shared" si="3"/>
        <v>1.1599999999999999</v>
      </c>
      <c r="G62" s="22">
        <f t="shared" si="4"/>
        <v>1.45</v>
      </c>
      <c r="H62" s="22">
        <f t="shared" si="5"/>
        <v>2.9</v>
      </c>
      <c r="I62" s="22">
        <f t="shared" si="6"/>
        <v>5.8</v>
      </c>
      <c r="J62" s="22">
        <f t="shared" si="7"/>
        <v>11.6</v>
      </c>
      <c r="K62" s="23">
        <f t="shared" si="8"/>
        <v>14.499999999999998</v>
      </c>
      <c r="L62" s="23">
        <f t="shared" si="9"/>
        <v>145</v>
      </c>
      <c r="M62" s="4">
        <f t="shared" si="10"/>
        <v>379</v>
      </c>
    </row>
    <row r="63" spans="1:13" x14ac:dyDescent="0.3">
      <c r="A63" s="3">
        <v>380</v>
      </c>
      <c r="B63" s="3">
        <v>30</v>
      </c>
      <c r="C63" s="4">
        <f t="shared" si="0"/>
        <v>0.15</v>
      </c>
      <c r="D63" s="4">
        <f t="shared" si="1"/>
        <v>0.3</v>
      </c>
      <c r="E63" s="4">
        <f t="shared" si="2"/>
        <v>0.6</v>
      </c>
      <c r="F63" s="4">
        <f t="shared" si="3"/>
        <v>1.2</v>
      </c>
      <c r="G63" s="4">
        <f t="shared" si="4"/>
        <v>1.5</v>
      </c>
      <c r="H63" s="4">
        <f t="shared" ref="H63" si="11">(((350*A63)-122500)*2)/(7*(A63+350))</f>
        <v>4.1095890410958908</v>
      </c>
      <c r="I63" s="4">
        <f t="shared" si="6"/>
        <v>6</v>
      </c>
      <c r="J63" s="4">
        <f t="shared" si="7"/>
        <v>12</v>
      </c>
      <c r="K63" s="24">
        <f t="shared" si="8"/>
        <v>15</v>
      </c>
      <c r="L63" s="24">
        <f t="shared" si="9"/>
        <v>150</v>
      </c>
      <c r="M63" s="4">
        <f t="shared" si="10"/>
        <v>380</v>
      </c>
    </row>
  </sheetData>
  <mergeCells count="1">
    <mergeCell ref="A1:J1"/>
  </mergeCells>
  <phoneticPr fontId="1" type="noConversion"/>
  <printOptions horizontalCentered="1"/>
  <pageMargins left="0.59055118110236227" right="0.51181102362204722" top="0.74803149606299213" bottom="0.39370078740157483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5</vt:i4>
      </vt:variant>
    </vt:vector>
  </HeadingPairs>
  <TitlesOfParts>
    <vt:vector size="12" baseType="lpstr">
      <vt:lpstr>Strain 3W</vt:lpstr>
      <vt:lpstr>PT100</vt:lpstr>
      <vt:lpstr>PT1000</vt:lpstr>
      <vt:lpstr>Strain 3W_0.1V</vt:lpstr>
      <vt:lpstr>PT1000_저항환산</vt:lpstr>
      <vt:lpstr>PT100_저항환산</vt:lpstr>
      <vt:lpstr>Strain 3W_저항환산</vt:lpstr>
      <vt:lpstr>'PT100'!Print_Area</vt:lpstr>
      <vt:lpstr>PT100_저항환산!Print_Area</vt:lpstr>
      <vt:lpstr>'PT1000'!Print_Area</vt:lpstr>
      <vt:lpstr>PT1000_저항환산!Print_Area</vt:lpstr>
      <vt:lpstr>'Strain 3W_저항환산'!Print_Area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kimkeonsik</dc:creator>
  <cp:lastModifiedBy>hyunso</cp:lastModifiedBy>
  <cp:lastPrinted>2015-03-30T07:09:04Z</cp:lastPrinted>
  <dcterms:created xsi:type="dcterms:W3CDTF">2011-05-26T12:01:03Z</dcterms:created>
  <dcterms:modified xsi:type="dcterms:W3CDTF">2025-06-30T00:32:40Z</dcterms:modified>
</cp:coreProperties>
</file>